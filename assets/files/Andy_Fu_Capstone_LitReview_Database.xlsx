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Summary" sheetId="2" state="visible" r:id="rId4"/>
    <sheet name="Evidence_Map" sheetId="3" state="visible" r:id="rId5"/>
    <sheet name="Cleaned_DB" sheetId="4" state="visible" r:id="rId6"/>
    <sheet name="Flags" sheetId="5" state="visible" r:id="rId7"/>
    <sheet name="Data_QA" sheetId="6" state="visible" r:id="rId8"/>
  </sheets>
  <definedNames>
    <definedName function="false" hidden="true" localSheetId="3" name="_xlnm._FilterDatabase" vbProcedure="false">Cleaned_DB!$A$1:$P$42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<sst xmlns="http://schemas.openxmlformats.org/spreadsheetml/2006/main" count="898" uniqueCount="398">
  <si>
    <t xml:space="preserve">Capstone Literature Review Database — processed version</t>
  </si>
  <si>
    <t xml:space="preserve">Stress-response genes and hallmarks of aging in arthropods (41 papers)</t>
  </si>
  <si>
    <t xml:space="preserve">Sheets</t>
  </si>
  <si>
    <t xml:space="preserve">Cleaned_DB — one row per paper, cleaned text plus derived tags (taxon, research context, gene family, evidence type, direct aging measure).</t>
  </si>
  <si>
    <t xml:space="preserve">Flags — 0/1 indicator columns for every multi-valued field (stress types, hallmarks, gene families). Summary formulas read from here.</t>
  </si>
  <si>
    <t xml:space="preserve">Summary — counts by taxon, context, gene family, stress type, hallmark, method and evidence type (live formulas).</t>
  </si>
  <si>
    <t xml:space="preserve">Evidence_Map — stress type × aging hallmark matrix, showing where evidence clusters and where the gaps are.</t>
  </si>
  <si>
    <t xml:space="preserve">Data_QA — every correction made to the original sheet, and items that still need a manual decision.</t>
  </si>
  <si>
    <t xml:space="preserve">How tags were derived</t>
  </si>
  <si>
    <t xml:space="preserve">Hallmarks were mapped onto the López-Otín hallmarks of aging framework. "Oxidative stress" was merged with mitochondrial dysfunction; "reproductive decline" and "developmental arrest" with stem cell exhaustion.</t>
  </si>
  <si>
    <t xml:space="preserve">Evidence type: Causal = RNAi knockdown, silencing, recombinant protein injection or loss-of-function. Correlational = expression change or association only. Physiological/biomarker = no gene studied.</t>
  </si>
  <si>
    <t xml:space="preserve">Direct aging measure = the paper itself measures lifespan, longevity or age-dependent change in adults, rather than the link to aging being argued in the Inclusion Justification.</t>
  </si>
  <si>
    <t xml:space="preserve">Research context and taxon were assigned from species; they are reviewer judgement calls and can be edited in Cleaned_DB (Summary updates automatically for single-valued columns).</t>
  </si>
  <si>
    <t xml:space="preserve">Litopenaeus vannamei and Penaeus vannamei are the same species (whiteleg / Pacific white shrimp) and were merged.</t>
  </si>
  <si>
    <t xml:space="preserve">Summary of the literature base</t>
  </si>
  <si>
    <t xml:space="preserve">All counts are live formulas on Cleaned_DB / Flags. Multi-valued fields (stress, hallmark, gene family) sum to more than the paper count.</t>
  </si>
  <si>
    <t xml:space="preserve">Total papers</t>
  </si>
  <si>
    <t xml:space="preserve">Distinct species</t>
  </si>
  <si>
    <t xml:space="preserve">Taxon</t>
  </si>
  <si>
    <t xml:space="preserve">Papers</t>
  </si>
  <si>
    <t xml:space="preserve">% of papers</t>
  </si>
  <si>
    <t xml:space="preserve">Crustacea</t>
  </si>
  <si>
    <t xml:space="preserve">Insecta</t>
  </si>
  <si>
    <t xml:space="preserve">Arachnida</t>
  </si>
  <si>
    <t xml:space="preserve">Multi-taxa (review)</t>
  </si>
  <si>
    <t xml:space="preserve">Research context</t>
  </si>
  <si>
    <t xml:space="preserve">Model / basic biology</t>
  </si>
  <si>
    <t xml:space="preserve">Aquaculture</t>
  </si>
  <si>
    <t xml:space="preserve">Pest / parasite / vector</t>
  </si>
  <si>
    <t xml:space="preserve">Ecotoxicology</t>
  </si>
  <si>
    <t xml:space="preserve">Gene family (multi-valued)</t>
  </si>
  <si>
    <t xml:space="preserve">HSP70</t>
  </si>
  <si>
    <t xml:space="preserve">HSP90</t>
  </si>
  <si>
    <t xml:space="preserve">Small HSPs</t>
  </si>
  <si>
    <t xml:space="preserve">HSP40 (J-domain)</t>
  </si>
  <si>
    <t xml:space="preserve">HSF1</t>
  </si>
  <si>
    <t xml:space="preserve">HSP60/10</t>
  </si>
  <si>
    <t xml:space="preserve">HSPs (unspecified)</t>
  </si>
  <si>
    <t xml:space="preserve">Other chaperone (artemin)</t>
  </si>
  <si>
    <t xml:space="preserve">Antioxidant enzymes</t>
  </si>
  <si>
    <t xml:space="preserve">Mitochondrial (AOX)</t>
  </si>
  <si>
    <t xml:space="preserve">Cuticle / structural</t>
  </si>
  <si>
    <t xml:space="preserve">Other longevity genes</t>
  </si>
  <si>
    <t xml:space="preserve">No gene (physiological biomarker)</t>
  </si>
  <si>
    <t xml:space="preserve">Main function</t>
  </si>
  <si>
    <t xml:space="preserve">Proteostasis / Chaperone</t>
  </si>
  <si>
    <t xml:space="preserve">Antioxidant Defense</t>
  </si>
  <si>
    <t xml:space="preserve">Stress Response Regulation</t>
  </si>
  <si>
    <t xml:space="preserve">Other / Mixed</t>
  </si>
  <si>
    <t xml:space="preserve">Energy Metabolism</t>
  </si>
  <si>
    <t xml:space="preserve">Cell Structure / Maintenance</t>
  </si>
  <si>
    <t xml:space="preserve">Stress type (multi-valued)</t>
  </si>
  <si>
    <t xml:space="preserve">Thermal</t>
  </si>
  <si>
    <t xml:space="preserve">Oxidative</t>
  </si>
  <si>
    <t xml:space="preserve">Chemical / Environmental</t>
  </si>
  <si>
    <t xml:space="preserve">Pathogen / Immune</t>
  </si>
  <si>
    <t xml:space="preserve">Dietary / Nutritional</t>
  </si>
  <si>
    <t xml:space="preserve">Developmental / Reproductive</t>
  </si>
  <si>
    <t xml:space="preserve">Abiotic (general)</t>
  </si>
  <si>
    <t xml:space="preserve">Genetic / Functional manipulation</t>
  </si>
  <si>
    <t xml:space="preserve">Chronological aging</t>
  </si>
  <si>
    <t xml:space="preserve">Radiation / hormesis</t>
  </si>
  <si>
    <t xml:space="preserve">Aging hallmark (multi-valued)</t>
  </si>
  <si>
    <t xml:space="preserve">Loss of proteostasis</t>
  </si>
  <si>
    <t xml:space="preserve">Mitochondrial dysfunction / oxidative stress</t>
  </si>
  <si>
    <t xml:space="preserve">Altered intercellular communication</t>
  </si>
  <si>
    <t xml:space="preserve">Deregulated nutrient sensing</t>
  </si>
  <si>
    <t xml:space="preserve">Stem cell exhaustion / reproductive-developmental decline</t>
  </si>
  <si>
    <t xml:space="preserve">Genomic instability</t>
  </si>
  <si>
    <t xml:space="preserve">Epigenetic alterations</t>
  </si>
  <si>
    <t xml:space="preserve">Unmapped (non-standard label)</t>
  </si>
  <si>
    <t xml:space="preserve">Experimental method</t>
  </si>
  <si>
    <t xml:space="preserve">Gene Expression Analysis</t>
  </si>
  <si>
    <t xml:space="preserve">Gene Knockdown / RNAi</t>
  </si>
  <si>
    <t xml:space="preserve">Protein / Enzyme Activity</t>
  </si>
  <si>
    <t xml:space="preserve">Histology / Microscopy</t>
  </si>
  <si>
    <t xml:space="preserve">Genomic / Sequence Analysis</t>
  </si>
  <si>
    <t xml:space="preserve">Evidence type</t>
  </si>
  <si>
    <t xml:space="preserve">Correlational (expression / association)</t>
  </si>
  <si>
    <t xml:space="preserve">Causal (loss/gain-of-function)</t>
  </si>
  <si>
    <t xml:space="preserve">Physiological / biomarker</t>
  </si>
  <si>
    <t xml:space="preserve">Direct aging measure</t>
  </si>
  <si>
    <t xml:space="preserve">Yes</t>
  </si>
  <si>
    <t xml:space="preserve">No</t>
  </si>
  <si>
    <t xml:space="preserve">Species</t>
  </si>
  <si>
    <t xml:space="preserve">Artemia franciscana</t>
  </si>
  <si>
    <t xml:space="preserve">Penaeus vannamei</t>
  </si>
  <si>
    <t xml:space="preserve">Drosophila melanogaster</t>
  </si>
  <si>
    <t xml:space="preserve">Penaeus monodon</t>
  </si>
  <si>
    <t xml:space="preserve">Chironomus riparius</t>
  </si>
  <si>
    <t xml:space="preserve">Procambarus clarkii</t>
  </si>
  <si>
    <t xml:space="preserve">Macrobrachium rosenbergii</t>
  </si>
  <si>
    <t xml:space="preserve">Musca domestica</t>
  </si>
  <si>
    <t xml:space="preserve">Neoseiulus barkeri</t>
  </si>
  <si>
    <t xml:space="preserve">Pseudolycoriella hygida</t>
  </si>
  <si>
    <t xml:space="preserve">Tenebrio molitor</t>
  </si>
  <si>
    <t xml:space="preserve">Eriocheir sinensis</t>
  </si>
  <si>
    <t xml:space="preserve">Chrysomya albiceps</t>
  </si>
  <si>
    <t xml:space="preserve">Haemaphysalis flava</t>
  </si>
  <si>
    <t xml:space="preserve">Rhipicephalus haemaphysaloides</t>
  </si>
  <si>
    <t xml:space="preserve">Rhipicephalus (Boophilus) microplus</t>
  </si>
  <si>
    <t xml:space="preserve">Varroa destructor</t>
  </si>
  <si>
    <t xml:space="preserve">Apis cerana cerana</t>
  </si>
  <si>
    <t xml:space="preserve">Daphnia pulicaria, Daphnia pulex</t>
  </si>
  <si>
    <t xml:space="preserve">Oncopeltus fasciatus</t>
  </si>
  <si>
    <t xml:space="preserve">S. cerevisiae, C. elegans, D. melanogaster</t>
  </si>
  <si>
    <t xml:space="preserve">Tigriopus californicus</t>
  </si>
  <si>
    <t xml:space="preserve">Evidence map — number of papers linking each stress type to each aging hallmark</t>
  </si>
  <si>
    <t xml:space="preserve">A paper tagged with 2 stress types and 2 hallmarks contributes to 4 cells. Blank-looking (0) cells are gaps in the literature base.</t>
  </si>
  <si>
    <t xml:space="preserve">Stress type ↓ / Hallmark →</t>
  </si>
  <si>
    <t xml:space="preserve">Gene family × evidence type</t>
  </si>
  <si>
    <t xml:space="preserve">Gene family</t>
  </si>
  <si>
    <t xml:space="preserve">ID</t>
  </si>
  <si>
    <t xml:space="preserve">Paper Title</t>
  </si>
  <si>
    <t xml:space="preserve">Common Name</t>
  </si>
  <si>
    <t xml:space="preserve">Research Context</t>
  </si>
  <si>
    <t xml:space="preserve">Stress Type(s)</t>
  </si>
  <si>
    <t xml:space="preserve">Gene(s) / Protein(s)</t>
  </si>
  <si>
    <t xml:space="preserve">Gene Family</t>
  </si>
  <si>
    <t xml:space="preserve">Main Function</t>
  </si>
  <si>
    <t xml:space="preserve">Aging Hallmark(s)</t>
  </si>
  <si>
    <t xml:space="preserve">Experimental Method</t>
  </si>
  <si>
    <t xml:space="preserve">Evidence Type</t>
  </si>
  <si>
    <t xml:space="preserve">Direct Aging Measure</t>
  </si>
  <si>
    <t xml:space="preserve">Key Findings</t>
  </si>
  <si>
    <t xml:space="preserve">Inclusion Justification</t>
  </si>
  <si>
    <t xml:space="preserve">Effects of UV-B radiation on the survival, egg hatchability and transcript expression of antioxidant enzymes in a high-temperature adapted strain of Neoseiulus barkeri</t>
  </si>
  <si>
    <t xml:space="preserve">Predatory mite</t>
  </si>
  <si>
    <t xml:space="preserve">SOD (3 genes), catalase</t>
  </si>
  <si>
    <t xml:space="preserve">UV-B exposure decreases survival and egg hatchability.
High-temperature-acclimated adults show weaker antioxidant (SOD/catalase) responses.
SOD gene expression is upregulated in control but not in HTAS adults.</t>
  </si>
  <si>
    <t xml:space="preserve">Reduced antioxidant enzyme activity and altered SOD expression reflect impaired handling of reactive oxygen species, a key contributor to cellular aging.</t>
  </si>
  <si>
    <t xml:space="preserve">Characterization and function analysis of Hsp60 and Hsp10 under different acute stresses in black tiger shrimp, Penaeus monodon</t>
  </si>
  <si>
    <t xml:space="preserve">Black tiger shrimp</t>
  </si>
  <si>
    <t xml:space="preserve">Hsp60, Hsp10</t>
  </si>
  <si>
    <t xml:space="preserve">Hsp60/Hsp10 complex shows ATPase and chaperone activity, slowing protein denaturation.
Both genes support stress resilience via mitochondrial proteostasis.</t>
  </si>
  <si>
    <t xml:space="preserve">Enhanced chaperone activity maintains proper protein folding and mitochondrial protein quality, counteracting age-related proteostasis decline.</t>
  </si>
  <si>
    <t xml:space="preserve">Identification and characterization of a laterally transferred alternative oxidase (AOX) in a terrestrial insect, the dipteran Pseudolycoriella hygida</t>
  </si>
  <si>
    <t xml:space="preserve">Fungus gnat</t>
  </si>
  <si>
    <t xml:space="preserve">AOX</t>
  </si>
  <si>
    <t xml:space="preserve">AOX has three stage-specific isoforms and localizes to mitochondria.
Cyanide-resistant respiration increases with age.
Supports survival under respiratory inhibition.</t>
  </si>
  <si>
    <t xml:space="preserve">Changes in mitochondrial respiration and AOX function relate directly to age-associated mitochondrial stress and energy metabolism maintenance</t>
  </si>
  <si>
    <t xml:space="preserve">Hsp70 Knockdown in the Brine Shrimp Artemia franciscana: Implication on Reproduction, Immune Response and Embryonic Cuticular Structure</t>
  </si>
  <si>
    <t xml:space="preserve">Brine shrimp</t>
  </si>
  <si>
    <t xml:space="preserve">Hsp70</t>
  </si>
  <si>
    <t xml:space="preserve">Loss of proteostasis; Deregulated nutrient sensing; Altered intercellular communication</t>
  </si>
  <si>
    <t xml:space="preserve">Hsp70 knockdown reduces gestational survival and offspring numbers.
Causes exoskeleton damage, abnormal eye lens, defective cysts, shorter antennae.
Downregulates cuticle/chitin and carbohydrate metabolism genes, decreases glycogen/trehalose.
Lowers immune tolerance via Toll receptor downregulation.</t>
  </si>
  <si>
    <t xml:space="preserve">Hsp70 affects multiple cellular systems that normally decline with age, linking proteostasis, metabolism, and immunity to developmental and reproductive phenotypes.</t>
  </si>
  <si>
    <t xml:space="preserve">Effects of Polystyrene Diet on the Growth and Development of Tenebrio molitor</t>
  </si>
  <si>
    <t xml:space="preserve">Mealworm beetle</t>
  </si>
  <si>
    <t xml:space="preserve">Loss of proteostasis; Deregulated nutrient sensing</t>
  </si>
  <si>
    <t xml:space="preserve">Polystyrene diet affects Tenebrio molitor development.
Differential expression observed in Hsp70, chitinase, and cytochrome P450.
Hsp70, an aging-related gene, responds to dietary stress, linking environmental stress to aging-related molecular pathways.</t>
  </si>
  <si>
    <t xml:space="preserve">Dietary stress triggers molecular pathways (proteostasis, metabolism) commonly altered during aging, highlighting how environmental factors intersect with aging mechanisms.</t>
  </si>
  <si>
    <t xml:space="preserve">Effects of Dietary Mannan Oligosaccharides on Non-Specific Immunity, Intestinal Health, and Antibiotic Resistance Genes in Pacific White Shrimp Litopenaeus vannamei</t>
  </si>
  <si>
    <t xml:space="preserve">Pacific white shrimp</t>
  </si>
  <si>
    <t xml:space="preserve">Loss of proteostasis; Altered intercellular communication</t>
  </si>
  <si>
    <t xml:space="preserve">MOS supplementation in Litopenaeus vannamei upregulated immune genes, including Hsp70, Toll, and lysozyme.
Hsp70 supports stress tolerance and cellular protection, linking diet to aging-related stress resistance.</t>
  </si>
  <si>
    <t xml:space="preserve">Dietary modulation influences proteostasis and immune pathways that typically decline with age, highlighting connections between nutrition, stress resilience, and aging mechanisms.</t>
  </si>
  <si>
    <t xml:space="preserve">Transcriptional changes revealed water acidification leads to the immune response and ovary maturation delay in the Chinese mitten crab Eriocheir sinensis</t>
  </si>
  <si>
    <t xml:space="preserve">Chinese mitten crab</t>
  </si>
  <si>
    <t xml:space="preserve">HSP70, HSP90</t>
  </si>
  <si>
    <t xml:space="preserve">HSP70; HSP90</t>
  </si>
  <si>
    <t xml:space="preserve">Altered intercellular communication; Stem cell exhaustion / reproductive-developmental decline</t>
  </si>
  <si>
    <t xml:space="preserve">Water acidification upregulated immune genes and downregulated ovarian maturation genes.
Resulted in delayed ovary development.</t>
  </si>
  <si>
    <t xml:space="preserve">Environmental stress impacts both immune signaling and reproductive function, processes that are closely linked to age-related decline in physiology.</t>
  </si>
  <si>
    <t xml:space="preserve">Transfer and effects of PET microfibers in Chironomus riparius</t>
  </si>
  <si>
    <t xml:space="preserve">Non-biting midge</t>
  </si>
  <si>
    <t xml:space="preserve">HSP70 levels unchanged between PET-exposed and control groups.
Microfibers transferred from larvae to adults.
No observable molecular or organismal toxicity.</t>
  </si>
  <si>
    <t xml:space="preserve">Inclusion demonstrates that this aging-related chaperone gene remained stable under environmental stress, serving as a baseline for proteostasis assessment.</t>
  </si>
  <si>
    <t xml:space="preserve">Gene expression as age estimation marker in the larval stages of the forensic blowfly, Chrysomya albiceps, at different temperatures</t>
  </si>
  <si>
    <t xml:space="preserve">Blowfly</t>
  </si>
  <si>
    <t xml:space="preserve">hsp90</t>
  </si>
  <si>
    <t xml:space="preserve">Hsp90 expression varies with temperature and age.
Can potentially serve as an age-estimation marker.</t>
  </si>
  <si>
    <t xml:space="preserve">Hsp90 is a chaperone maintaining protein folding and stress response, processes that decline with age.</t>
  </si>
  <si>
    <t xml:space="preserve">Cyst viability and stress tolerance upon heat shock protein 70 knockdown in the brine shrimp Artemia franciscana</t>
  </si>
  <si>
    <t xml:space="preserve">Hsp70 knockdown did not impair cyst development.
Reduced cyst stress tolerance; hatching percentage decreased under stress.</t>
  </si>
  <si>
    <t xml:space="preserve">Hsp70 supports cellular stress resistance, a key aging-related mechanism for maintaining protein homeostasis and organismal resilience.</t>
  </si>
  <si>
    <t xml:space="preserve">The feeding of dietary Codonopsis pilosula polysaccharide enhances the immune responses, the expression of immune-related genes and the growth performance of red swamp crayfish (Procambarus clarkii)</t>
  </si>
  <si>
    <t xml:space="preserve">Red swamp crayfish</t>
  </si>
  <si>
    <t xml:space="preserve">mtMnsod, hsp70</t>
  </si>
  <si>
    <t xml:space="preserve">HSP70; Antioxidant enzymes</t>
  </si>
  <si>
    <t xml:space="preserve">Mitochondrial dysfunction / oxidative stress; Loss of proteostasis</t>
  </si>
  <si>
    <t xml:space="preserve">Dietary CPP improved growth and antioxidant capacity.
Upregulated mtMnsod and Hsp70.
Optimal CPP level: 0.15–0.2%.</t>
  </si>
  <si>
    <t xml:space="preserve">Dietary supplementation modulates genes that maintain mitochondrial function and proteostasis, key processes in aging.</t>
  </si>
  <si>
    <t xml:space="preserve">Cloning of four HSPA multigene family members in Haemaphysalis flava ticks</t>
  </si>
  <si>
    <t xml:space="preserve">Hard tick</t>
  </si>
  <si>
    <t xml:space="preserve">HSPA2A, HSPA2B, HSPA5, HSPA9</t>
  </si>
  <si>
    <t xml:space="preserve">Four HSPA (Hsp70) genes cloned.
Expression varies by feeding stage; genes have distinct cellular localization and structures.</t>
  </si>
  <si>
    <t xml:space="preserve">Hsp70 family genes regulate protein folding and stress responses, central to maintaining proteostasis during aging.</t>
  </si>
  <si>
    <t xml:space="preserve">Heat shock protein 20 from Procambarus clarkii is involved in the innate immune responses against microbial infection</t>
  </si>
  <si>
    <t xml:space="preserve">Pc-Hsp20</t>
  </si>
  <si>
    <t xml:space="preserve">Pc-Hsp20 expressed across multiple tissues.
Upregulated by immune challenge.
Knockdown altered immune-related gene expression.</t>
  </si>
  <si>
    <t xml:space="preserve">Pc-Hsp20 contributes to proteostasis and immune resilience, both of which are key aging-related processes.</t>
  </si>
  <si>
    <t xml:space="preserve">Ovary Proteome Analysis Reveals RH36 Regulates Reproduction via Vitellin Uptake Mediated by HSP70 Protein in Hard Ticks</t>
  </si>
  <si>
    <t xml:space="preserve">Loss of proteostasis; Stem cell exhaustion / reproductive-developmental decline</t>
  </si>
  <si>
    <t xml:space="preserve">HSP70 downregulation impaired blood feeding, vitellogenin expression, ovary maturation, and increased mortality.</t>
  </si>
  <si>
    <t xml:space="preserve">HSP70 links proteostasis maintenance with reproductive health, both central processes that decline with age.</t>
  </si>
  <si>
    <t xml:space="preserve">Gene Expression in the Salivary Gland of Rhipicephalus (Boophilus) microplus Fed on Tick-Susceptible and Tick-Resistant Hosts</t>
  </si>
  <si>
    <t xml:space="preserve">Cattle tick</t>
  </si>
  <si>
    <t xml:space="preserve">(sHSP), HSP transcripts</t>
  </si>
  <si>
    <t xml:space="preserve">HSP gene expression increased in ticks feeding on susceptible hosts.
Other differentially expressed genes relate to feeding and host interaction.</t>
  </si>
  <si>
    <t xml:space="preserve">HSPs maintain protein folding and stress resilience, key mechanisms linked to aging and lifespan regulation.</t>
  </si>
  <si>
    <t xml:space="preserve">Heat shock protein 70 from Litopenaeus vannamei (LvHSP70) is involved in the innate immune response against white spot syndrome virus (WSSV) infection</t>
  </si>
  <si>
    <t xml:space="preserve">HSP70 (LvHSP70)</t>
  </si>
  <si>
    <t xml:space="preserve">LvHSP70 upregulated during WSSV infection.
rLvHSP70 injection reduced viral load, prolonged survival.
Modulated proPO system and apoptosis-related genes.</t>
  </si>
  <si>
    <t xml:space="preserve">Activation of HSP70 enhances proteostasis and immune function, processes that are central to aging-related stress resistance.</t>
  </si>
  <si>
    <t xml:space="preserve">Phloroglucinol Treatment Induces Transgenerational Epigenetic Inherited Resistance Against Vibrio Infections and Thermal Stress in a Brine Shrimp (Artemia franciscana) Model</t>
  </si>
  <si>
    <t xml:space="preserve">Pathogen / Immune; Thermal</t>
  </si>
  <si>
    <t xml:space="preserve">Loss of proteostasis; Altered intercellular communication; Epigenetic alterations</t>
  </si>
  <si>
    <t xml:space="preserve">Phloroglucinol treatment increased resistance to bacterial and thermal stress across three generations.
Upregulated HSP70, HSP90, and innate immune genes.
Epigenetic modifications implicated in transgenerational effects.</t>
  </si>
  <si>
    <t xml:space="preserve">Links proteostasis, immune resilience, and epigenetic mechanisms to aging-related stress responses, demonstrating multi-generational modulation of aging pathways.</t>
  </si>
  <si>
    <t xml:space="preserve">Pathogenicity of non-O1/O139 Vibrio cholerae and its induced immune response in Macrobrachium rosenbergii</t>
  </si>
  <si>
    <t xml:space="preserve">Giant freshwater prawn</t>
  </si>
  <si>
    <t xml:space="preserve">HSP70, SOD</t>
  </si>
  <si>
    <t xml:space="preserve">Loss of proteostasis; Mitochondrial dysfunction / oxidative stress; Altered intercellular communication</t>
  </si>
  <si>
    <t xml:space="preserve">Infection upregulated immune and stress-related genes (HSP70, SOD) 6–12 h post-infection.
Histopathology showed inflammation in hepatopancreas and intestine.</t>
  </si>
  <si>
    <t xml:space="preserve">Infection triggers molecular pathways central to aging, including proteostasis, oxidative stress handling, and immune regulation.</t>
  </si>
  <si>
    <t xml:space="preserve">Effects of Moringa oleifera leaf extract on growth performance, physiological and immune response, and related immune gene expression of Macrobrachium rosenbergii with Vibrio anguillarum and ammonia stress</t>
  </si>
  <si>
    <t xml:space="preserve">Pathogen / Immune; Chemical / Environmental</t>
  </si>
  <si>
    <t xml:space="preserve">0.5% M. oleifera leaf extract improved growth, antioxidant activity, and immune gene expression (HSP70, SOD).
Enhanced survival under ammonia and bacterial stress.</t>
  </si>
  <si>
    <t xml:space="preserve">Dietary supplementation modulates proteostasis, oxidative stress handling, and immune pathways, all key processes linked to aging and stress resistance.</t>
  </si>
  <si>
    <t xml:space="preserve">The synthesis of diapause-specific molecular chaperones in embryos of Artemia franciscana is determined by the quantity and location of heat shock factor 1 (Hsf1)</t>
  </si>
  <si>
    <t xml:space="preserve">Hsf1, ArHsp21, ArHsp22</t>
  </si>
  <si>
    <t xml:space="preserve">Small HSPs; HSF1</t>
  </si>
  <si>
    <t xml:space="preserve">Embryos destined for cyst formation showed higher nuclear Hsf1 and produced diapause-specific chaperones.
Nauplius-destined embryos did not synthesize these proteins.</t>
  </si>
  <si>
    <t xml:space="preserve">Hsf1 and diapause-specific HSPs are canonical aging/stress-related genes regulating developmental arrest and stress resistance; study elucidates molecular control of diapause</t>
  </si>
  <si>
    <t xml:space="preserve">Heat shock proteins in Varroa destructor exposed to heat stress and in-hive acaricides</t>
  </si>
  <si>
    <t xml:space="preserve">Varroa mite</t>
  </si>
  <si>
    <t xml:space="preserve">Thermal; Chemical / Environmental</t>
  </si>
  <si>
    <t xml:space="preserve">Brood-cell mites survive 40 °C, phoretic mites do not.
Hsp70 strongly induced by heat and acaricide exposure.
Response varies by population and acaricide type.</t>
  </si>
  <si>
    <t xml:space="preserve">Hsp70 induction maintains protein folding and cellular stress resilience, a key aging-related mechanism.</t>
  </si>
  <si>
    <t xml:space="preserve">ArHsp40 and ArHsp40-2 contribute to stress tolerance and longevity in Artemia franciscana, but only ArHsp40 influences diapause entry</t>
  </si>
  <si>
    <t xml:space="preserve">Thermal; Developmental / Reproductive</t>
  </si>
  <si>
    <t xml:space="preserve">ArHsp40, ArHsp40-2</t>
  </si>
  <si>
    <t xml:space="preserve">ArHsp40 knockdown reduced diapause entry and stress tolerance.
Both ArHsp40 and ArHsp40-2 decreased longevity and heat tolerance.</t>
  </si>
  <si>
    <t xml:space="preserve">Demonstrates direct role of ArHsp40 family in longevity and stress tolerance, directly relevant to aging</t>
  </si>
  <si>
    <t xml:space="preserve">Stress tolerance in diapausing embryos of Artemia franciscana is dependent on heat shock factor 1 (Hsf1)</t>
  </si>
  <si>
    <t xml:space="preserve">Hsf1 (Heat Shock Factor 1), p26, ArHsp21, ArHsp22, artemin</t>
  </si>
  <si>
    <t xml:space="preserve">Small HSPs; HSF1; Other chaperone (artemin)</t>
  </si>
  <si>
    <t xml:space="preserve">Knockdown of Hsf1 reduced stress tolerance of diapause cysts, decreased survival of nauplii, and diminished expression of diapause-specific molecular chaperones</t>
  </si>
  <si>
    <t xml:space="preserve">Hsp40 family genes regulate proteostasis, stress resistance, and lifespan, highlighting their central role in aging mechanisms</t>
  </si>
  <si>
    <t xml:space="preserve">Comparative antennal transcriptome of Apis cerana cerana from four developmental stages</t>
  </si>
  <si>
    <t xml:space="preserve">Asian honey bee</t>
  </si>
  <si>
    <t xml:space="preserve">Cuticle proteins, immunity-related genes, venom proteins, major royal jelly proteins, small heat shock proteins, metabolism-related genes</t>
  </si>
  <si>
    <t xml:space="preserve">Post-eclosion: cuticle protein expression decreased.
Immunity genes increased.
Small heat shock proteins upregulated at T3; metabolism genes upregulated at T4.</t>
  </si>
  <si>
    <t xml:space="preserve">Gene expression changes across adult stages reveal age-associated adjustments in proteostasis, immune function, and metabolism.</t>
  </si>
  <si>
    <t xml:space="preserve">Heat shock 70 kDa protein cognate 5 involved in WSSV toleration of Litopenaeus vannamei</t>
  </si>
  <si>
    <t xml:space="preserve">LvHSC70-5</t>
  </si>
  <si>
    <t xml:space="preserve">Loss of proteostasis; Altered intercellular communication; Deregulated nutrient sensing</t>
  </si>
  <si>
    <t xml:space="preserve">LvHSC70-5 is upregulated under WSSV infection and thermal stress; mild thermal stress reduced WSSV copy number and shrimp mortality; knockdown decreased protein aggregation and mortality</t>
  </si>
  <si>
    <t xml:space="preserve">HSP70 family genes are established aging/stress-related genes; study shows regulation under viral and thermal stress</t>
  </si>
  <si>
    <t xml:space="preserve">Disrupting effects of antibiotic sulfathiazole on developmental process during sensitive life-cycle stage of Chironomus riparius</t>
  </si>
  <si>
    <t xml:space="preserve">Chemical / Environmental; Oxidative</t>
  </si>
  <si>
    <t xml:space="preserve">HSP70, HSP40, HSP90, HSP27</t>
  </si>
  <si>
    <t xml:space="preserve">HSP70; HSP90; HSP40 (J-domain); Small HSPs</t>
  </si>
  <si>
    <t xml:space="preserve">STZ exposure upregulated HSP70, HSP40, HSP90, and HSP27.
Reflects heat-shock/stress responses under oxidative and antibiotic stress.</t>
  </si>
  <si>
    <t xml:space="preserve">HSP family proteins maintain protein folding and cellular stress resilience, central processes in aging and stress response.</t>
  </si>
  <si>
    <t xml:space="preserve">HSP70 and HSP90 are involved in shrimp Penaeus vannamei tolerance to AHPND-causing strain of Vibrio parahaemolyticus after non-lethal heat shock</t>
  </si>
  <si>
    <t xml:space="preserve">Thermal; Pathogen / Immune</t>
  </si>
  <si>
    <t xml:space="preserve">LvHSP70, LvHSP90</t>
  </si>
  <si>
    <t xml:space="preserve">Chronic non-lethal heat shock (NLHS) upregulated LvHSP70 and LvHSP90.
Enhanced survival under VPAHPND infection.
Silencing these genes abolished protection and decreased PO activity.</t>
  </si>
  <si>
    <t xml:space="preserve">HSP70/HSP90 are critical for proteostasis and immune defense, both key aging-related mechanisms influencing survival under stress.</t>
  </si>
  <si>
    <t xml:space="preserve">Effect of desiccation on oxidative stress and antioxidant response of the black tiger shrimp Penaeus monodon</t>
  </si>
  <si>
    <t xml:space="preserve">Loss of proteostasis; Mitochondrial dysfunction / oxidative stress</t>
  </si>
  <si>
    <t xml:space="preserve">Desiccation increased oxidative stress markers and HSP70 transcripts.
Prolonged desiccation decreased antioxidant enzyme activity and survival.</t>
  </si>
  <si>
    <t xml:space="preserve">HSP70 is an aging/stress-related gene; study demonstrates its activation under environmental oxidative stress</t>
  </si>
  <si>
    <t xml:space="preserve">ArHsp40, a type 1 J-domain protein, is developmentally regulated and stress inducible in post-diapause Artemia franciscana</t>
  </si>
  <si>
    <t xml:space="preserve">ArHsp40</t>
  </si>
  <si>
    <t xml:space="preserve">ArHsp40 levels decreased during post-diapause development but were upregulated under heat shock; stress inducible and developmentally regulated</t>
  </si>
  <si>
    <t xml:space="preserve">Environmental desiccation triggers oxidative stress and proteostasis responses, both central to aging-related cellular decline.</t>
  </si>
  <si>
    <t xml:space="preserve">Identification and functional characterization of a glucose regulated protein 94 gene in Litopenaeus vannamei and its responsiveness in WSSV infection</t>
  </si>
  <si>
    <t xml:space="preserve">Pathogen / Immune; Genetic / Functional manipulation</t>
  </si>
  <si>
    <t xml:space="preserve">LvGRP94</t>
  </si>
  <si>
    <t xml:space="preserve">LvGRP94 expressed in hemocytes and epidermis.
Upregulated by WSSV infection and UPR activation.
Knockdown reduced shrimp mortality and viral load.</t>
  </si>
  <si>
    <t xml:space="preserve">LvGRP94 links proteostasis maintenance and immune defense, both key mechanisms in aging and stress resilience.</t>
  </si>
  <si>
    <t xml:space="preserve">Artemin, a diapause-specific chaperone, contributes to the stress tolerance of Artemia franciscana cysts and influences their release from females</t>
  </si>
  <si>
    <t xml:space="preserve">Artemin</t>
  </si>
  <si>
    <t xml:space="preserve">Artemin knockdown reduces desiccation and freezing tolerance.
Increases time for cyst release from females.</t>
  </si>
  <si>
    <t xml:space="preserve">Artemin contributes to stress tolerance and developmental timing, both of which are linked to aging-related resilience mechanisms.</t>
  </si>
  <si>
    <t xml:space="preserve">Relationship between heat shock protein 70 expression and life span in Daphnia</t>
  </si>
  <si>
    <t xml:space="preserve">Water flea</t>
  </si>
  <si>
    <t xml:space="preserve">Short-lived D. pulex loses Hsp70 induction at mid-life; long-lived D. pulicaria maintains it.
HSF-1 DNA-binding declines with age, leading to reduced Hsp70 induction.</t>
  </si>
  <si>
    <t xml:space="preserve">Age-related decline in HSF-1 and Hsp70 impairs protein homeostasis, directly linking chaperone regulation to lifespan and aging.</t>
  </si>
  <si>
    <t xml:space="preserve">Low doses of radiation can enhance insect lifespans</t>
  </si>
  <si>
    <t xml:space="preserve">Fruit fly</t>
  </si>
  <si>
    <t xml:space="preserve">HSPs</t>
  </si>
  <si>
    <t xml:space="preserve">Loss of proteostasis; Genomic instability</t>
  </si>
  <si>
    <t xml:space="preserve">Low-dose radiation (hormesis) extended lifespan by 20–60%.
HSPs and DNA repair pathways mediated longevity.</t>
  </si>
  <si>
    <t xml:space="preserve">Radiation hormesis activates proteostasis and DNA repair mechanisms, key processes that mitigate aging and promote longevity.</t>
  </si>
  <si>
    <t xml:space="preserve">Developmental temperature and life span in Drosophila melanogaster: II. oscillating temperature</t>
  </si>
  <si>
    <t xml:space="preserve">hsp-65/hsp-70</t>
  </si>
  <si>
    <t xml:space="preserve">Female lifespan decreased with higher temperature amplitude; male lifespan increased with faster oscillation.
Lifespan correlated with growth rate, contradicting prior “biphasic” models.</t>
  </si>
  <si>
    <t xml:space="preserve">Environmental temperature fluctuations modulate lifespan, showing how developmental conditions influence aging trajectories and systemic longevity regulation</t>
  </si>
  <si>
    <t xml:space="preserve">Effect of age and ambient temperature on n-pentane production in adult housefly, Musca domestica</t>
  </si>
  <si>
    <t xml:space="preserve">Housefly</t>
  </si>
  <si>
    <t xml:space="preserve">n-Pentane, TBA-reactive material, fatty acid ratios</t>
  </si>
  <si>
    <t xml:space="preserve">Age-dependent increase in n-pentane accumulation and TBA-reactive material.
Polyunsaturated:saturated fatty acid ratio rises with age.
n-Pentane increases at high temperature, decreases at low temperature.</t>
  </si>
  <si>
    <t xml:space="preserve">Temperature-dependent oxidative damage markers directly reflect age-related accumulation of reactive species and lipid peroxidation, key aging mechanisms.</t>
  </si>
  <si>
    <t xml:space="preserve">Relationship between metabolic rate, aging, lipid peroxidation, and fluorescent age pigment in milkweed bug</t>
  </si>
  <si>
    <t xml:space="preserve">Milkweed bug</t>
  </si>
  <si>
    <t xml:space="preserve">None (studied as biomarkers)</t>
  </si>
  <si>
    <t xml:space="preserve">Lifespan decreases at higher temperatures.
Age-related biomarkers (lipid peroxidation, fluorescent pigments) increase faster at higher temperatures.
Metabolic rate positively correlates with aging and oxidative damage.
Supports the metabolic rate theory of aging.</t>
  </si>
  <si>
    <t xml:space="preserve">Increased metabolic rate accelerates oxidative damage, lipid peroxidation, and aging biomarkers, linking energy metabolism to age-related cellular decline.</t>
  </si>
  <si>
    <t xml:space="preserve">Genetic variation and aging</t>
  </si>
  <si>
    <t xml:space="preserve">Model organisms (yeast/worm/fly)</t>
  </si>
  <si>
    <t xml:space="preserve">sod, hsp70, clk-1</t>
  </si>
  <si>
    <t xml:space="preserve">HSP70; Antioxidant enzymes; Other longevity genes</t>
  </si>
  <si>
    <t xml:space="preserve">Genomic instability; Epigenetic alterations</t>
  </si>
  <si>
    <t xml:space="preserve">Lifespan can be modified through artificial selection.
Aging traits show heritability.</t>
  </si>
  <si>
    <t xml:space="preserve">Heritable variation in lifespan reflects genetic and epigenetic contributions to aging, showing that aging traits can be selected and modulated across generations.</t>
  </si>
  <si>
    <t xml:space="preserve">Effect of age and metabolic rate on lipid peroxidation in the housefly, Musca domestica L.</t>
  </si>
  <si>
    <t xml:space="preserve">Lipid peroxidation potential</t>
  </si>
  <si>
    <t xml:space="preserve">Lipid peroxidation increases with age, especially in high-metabolic-rate flies (30 °C vs 25 °C).
Lifespan inversely related to metabolic rate; higher temperature shortens life.
Accelerated senescence occurs via oxidative stress.</t>
  </si>
  <si>
    <t xml:space="preserve">Elevated metabolic rate drives oxidative damage, lipid peroxidation, and faster aging, linking energy metabolism to mitochondrial and oxidative aging mechanisms.</t>
  </si>
  <si>
    <t xml:space="preserve">Thermodynamics of aging in Drosophila melanogaster</t>
  </si>
  <si>
    <t xml:space="preserve">None specified</t>
  </si>
  <si>
    <t xml:space="preserve">Temperature coefficients for aging calculated using mortality data.
Aging occurs at two levels: molecular (protein denaturation) and integrated (lipid peroxidation).
Aging kinetics compared to protein and lipid degradation.</t>
  </si>
  <si>
    <t xml:space="preserve">links molecular-level protein and lipid damage to organismal aging, illustrating fundamental aging mechanisms.</t>
  </si>
  <si>
    <t xml:space="preserve">Fluorescent products from aging Drosophila melanogaster: An indicator of free radical lipid peroxidation damage</t>
  </si>
  <si>
    <t xml:space="preserve">Fluorescent pigments accumulate linearly with age; males accumulate faster than females.
Higher accumulation at elevated temperatures (26.7 °C/30 °C vs 22.2 °C).
Schiff-base chromophores identified as lipid peroxidation products.</t>
  </si>
  <si>
    <t xml:space="preserve">Accumulation of lipid peroxidation products reflects age-dependent oxidative damage, linking metabolic and environmental stress to aging mechanisms.</t>
  </si>
  <si>
    <t xml:space="preserve">HSF-1 represses cuticle genes to maintain proteostasis during heat stress</t>
  </si>
  <si>
    <t xml:space="preserve">Copepod</t>
  </si>
  <si>
    <t xml:space="preserve">HSF-1, Csp, Ctn, Cut</t>
  </si>
  <si>
    <t xml:space="preserve">HSF1; Cuticle / structural</t>
  </si>
  <si>
    <t xml:space="preserve">Loss of HSF-1 increases cuticle gene expression, leading to more ubiquitinated proteins and accelerated aging.
HSF-1 regulates non-canonical targets like chitin synthases.</t>
  </si>
  <si>
    <t xml:space="preserve">HSF-1 repression of cuticle/chitin genes maintains protein homeostasis; its loss accelerates protein misfolding and aging, demonstrating a direct gene-to-aging mechanism in arthropods.</t>
  </si>
  <si>
    <t xml:space="preserve">S: Thermal</t>
  </si>
  <si>
    <t xml:space="preserve">S: Oxidative</t>
  </si>
  <si>
    <t xml:space="preserve">S: Chemical / Environmental</t>
  </si>
  <si>
    <t xml:space="preserve">S: Pathogen / Immune</t>
  </si>
  <si>
    <t xml:space="preserve">S: Dietary / Nutritional</t>
  </si>
  <si>
    <t xml:space="preserve">S: Developmental / Reproductive</t>
  </si>
  <si>
    <t xml:space="preserve">S: Abiotic (general)</t>
  </si>
  <si>
    <t xml:space="preserve">S: Genetic / Functional manipulation</t>
  </si>
  <si>
    <t xml:space="preserve">S: Chronological aging</t>
  </si>
  <si>
    <t xml:space="preserve">S: Radiation / hormesis</t>
  </si>
  <si>
    <t xml:space="preserve">H: Loss of proteostasis</t>
  </si>
  <si>
    <t xml:space="preserve">H: Mitochondrial dysfunction / oxidative stress</t>
  </si>
  <si>
    <t xml:space="preserve">H: Altered intercellular communication</t>
  </si>
  <si>
    <t xml:space="preserve">H: Deregulated nutrient sensing</t>
  </si>
  <si>
    <t xml:space="preserve">H: Stem cell exhaustion / reproductive-developmental decline</t>
  </si>
  <si>
    <t xml:space="preserve">H: Genomic instability</t>
  </si>
  <si>
    <t xml:space="preserve">H: Epigenetic alterations</t>
  </si>
  <si>
    <t xml:space="preserve">H: Unmapped (non-standard label)</t>
  </si>
  <si>
    <t xml:space="preserve">G: HSP70</t>
  </si>
  <si>
    <t xml:space="preserve">G: HSP90</t>
  </si>
  <si>
    <t xml:space="preserve">G: Small HSPs</t>
  </si>
  <si>
    <t xml:space="preserve">G: HSP40 (J-domain)</t>
  </si>
  <si>
    <t xml:space="preserve">G: HSF1</t>
  </si>
  <si>
    <t xml:space="preserve">G: HSP60/10</t>
  </si>
  <si>
    <t xml:space="preserve">G: HSPs (unspecified)</t>
  </si>
  <si>
    <t xml:space="preserve">G: Other chaperone (artemin)</t>
  </si>
  <si>
    <t xml:space="preserve">G: Antioxidant enzymes</t>
  </si>
  <si>
    <t xml:space="preserve">G: Mitochondrial (AOX)</t>
  </si>
  <si>
    <t xml:space="preserve">G: Cuticle / structural</t>
  </si>
  <si>
    <t xml:space="preserve">G: Other longevity genes</t>
  </si>
  <si>
    <t xml:space="preserve">G: No gene (physiological biomarker)</t>
  </si>
  <si>
    <t xml:space="preserve">Paper ID</t>
  </si>
  <si>
    <t xml:space="preserve">Field</t>
  </si>
  <si>
    <t xml:space="preserve">Issue found</t>
  </si>
  <si>
    <t xml:space="preserve">Action taken</t>
  </si>
  <si>
    <t xml:space="preserve">"Litopenaeus vannamei" is a synonym of Penaeus vannamei (same species counted twice)</t>
  </si>
  <si>
    <t xml:space="preserve">Harmonised to Penaeus vannamei</t>
  </si>
  <si>
    <t xml:space="preserve">Stress Type</t>
  </si>
  <si>
    <t xml:space="preserve">Typo / stray character in "athogen / Immune Challenge."</t>
  </si>
  <si>
    <t xml:space="preserve">Mapped to canonical category</t>
  </si>
  <si>
    <t xml:space="preserve">Gene(s)</t>
  </si>
  <si>
    <t xml:space="preserve">Malformed entry "HSP70 (LvHSP70"</t>
  </si>
  <si>
    <t xml:space="preserve">Changed to "HSP70 (LvHSP70)"</t>
  </si>
  <si>
    <t xml:space="preserve">Malformed entry "HSP70, HSP90,"</t>
  </si>
  <si>
    <t xml:space="preserve">Changed to "HSP70, HSP90"</t>
  </si>
  <si>
    <t xml:space="preserve">Aging Hallmark</t>
  </si>
  <si>
    <t xml:space="preserve">Non-standard label "Aging-related / developmental regulation of diapause survival"</t>
  </si>
  <si>
    <t xml:space="preserve">Flagged as Unmapped; needs manual assignment to a hallmark</t>
  </si>
  <si>
    <t xml:space="preserve">Non-standard label "Aging / developmental stage-dependent gene expression"</t>
  </si>
  <si>
    <t xml:space="preserve">Typo / stray character in ": Abiotic Stress (General)."</t>
  </si>
  <si>
    <t xml:space="preserve">Non-standard label "Aging / Stress response &amp; Developmental regulation"</t>
  </si>
  <si>
    <t xml:space="preserve">Typo / stray character in "ging / Chronological Aging."</t>
  </si>
  <si>
    <t xml:space="preserve">Stray leading quote; title looks truncated</t>
  </si>
  <si>
    <t xml:space="preserve">Quote removed; full title should be checked</t>
  </si>
  <si>
    <t xml:space="preserve">Dangling text "Aging-related classification:"</t>
  </si>
  <si>
    <t xml:space="preserve">Removed</t>
  </si>
  <si>
    <t xml:space="preserve">Typo "ipid"</t>
  </si>
  <si>
    <t xml:space="preserve">Changed to "Lipid"</t>
  </si>
  <si>
    <t xml:space="preserve">All</t>
  </si>
  <si>
    <t xml:space="preserve">Stress Type / Hallmark</t>
  </si>
  <si>
    <t xml:space="preserve">Multiple values packed into one cell with inconsistent line breaks and trailing periods</t>
  </si>
  <si>
    <t xml:space="preserve">Split into canonical categories; 0/1 flags in Flags sheet</t>
  </si>
  <si>
    <t xml:space="preserve">Common Name / Group</t>
  </si>
  <si>
    <t xml:space="preserve">27 spelling variants for 23 species (e.g. "House fly" vs "Housefly", "Brine shrimp / Crustacean")</t>
  </si>
  <si>
    <t xml:space="preserve">Rebuilt from species name; taxon moved to its own column</t>
  </si>
  <si>
    <t xml:space="preserve">Metadata</t>
  </si>
  <si>
    <t xml:space="preserve">No year, authors, journal or DOI columns</t>
  </si>
  <si>
    <t xml:space="preserve">Not fixable from this sheet — recommend adding before the review is written up</t>
  </si>
  <si>
    <t xml:space="preserve">9 of 41 papers coded "Other / Mixed"</t>
  </si>
  <si>
    <t xml:space="preserve">Left as is; consider recoding (e.g. lifespan assay, biomarker assay)</t>
  </si>
  <si>
    <t xml:space="preserve">Null result (no HSP70 change, no toxicity)</t>
  </si>
  <si>
    <t xml:space="preserve">Kept — negative results are informative; tagged as correlational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</si>
</sst>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%"/>
    <numFmt numFmtId="166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1"/>
      <color rgb="FF666666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6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A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/>
    </row>
    <row r="4" customFormat="false" ht="15" hidden="false" customHeight="false" outlineLevel="0" collapsed="false">
      <c r="A4" s="4" t="s">
        <v>2</v>
      </c>
    </row>
    <row r="5" customFormat="false" ht="26.85" hidden="false" customHeight="false" outlineLevel="0" collapsed="false">
      <c r="A5" s="3" t="s">
        <v>3</v>
      </c>
    </row>
    <row r="6" customFormat="false" ht="26.85" hidden="false" customHeight="false" outlineLevel="0" collapsed="false">
      <c r="A6" s="3" t="s">
        <v>4</v>
      </c>
    </row>
    <row r="7" customFormat="false" ht="15" hidden="false" customHeight="false" outlineLevel="0" collapsed="false">
      <c r="A7" s="3" t="s">
        <v>5</v>
      </c>
    </row>
    <row r="8" customFormat="false" ht="15" hidden="false" customHeight="false" outlineLevel="0" collapsed="false">
      <c r="A8" s="3" t="s">
        <v>6</v>
      </c>
    </row>
    <row r="9" customFormat="false" ht="15" hidden="false" customHeight="false" outlineLevel="0" collapsed="false">
      <c r="A9" s="3" t="s">
        <v>7</v>
      </c>
    </row>
    <row r="10" customFormat="false" ht="15" hidden="false" customHeight="false" outlineLevel="0" collapsed="false">
      <c r="A10" s="3"/>
    </row>
    <row r="11" customFormat="false" ht="15" hidden="false" customHeight="false" outlineLevel="0" collapsed="false">
      <c r="A11" s="4" t="s">
        <v>8</v>
      </c>
    </row>
    <row r="12" customFormat="false" ht="26.85" hidden="false" customHeight="false" outlineLevel="0" collapsed="false">
      <c r="A12" s="3" t="s">
        <v>9</v>
      </c>
    </row>
    <row r="13" customFormat="false" ht="26.85" hidden="false" customHeight="false" outlineLevel="0" collapsed="false">
      <c r="A13" s="3" t="s">
        <v>10</v>
      </c>
    </row>
    <row r="14" customFormat="false" ht="26.85" hidden="false" customHeight="false" outlineLevel="0" collapsed="false">
      <c r="A14" s="3" t="s">
        <v>11</v>
      </c>
    </row>
    <row r="15" customFormat="false" ht="26.85" hidden="false" customHeight="false" outlineLevel="0" collapsed="false">
      <c r="A15" s="3" t="s">
        <v>12</v>
      </c>
    </row>
    <row r="16" customFormat="false" ht="15" hidden="false" customHeight="false" outlineLevel="0" collapsed="false">
      <c r="A16" s="3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5"/>
    <col collapsed="false" customWidth="true" hidden="false" outlineLevel="0" max="2" min="2" style="0" width="10"/>
    <col collapsed="false" customWidth="true" hidden="false" outlineLevel="0" max="3" min="3" style="0" width="12"/>
  </cols>
  <sheetData>
    <row r="1" customFormat="false" ht="17.35" hidden="false" customHeight="false" outlineLevel="0" collapsed="false">
      <c r="A1" s="5" t="s">
        <v>14</v>
      </c>
    </row>
    <row r="2" customFormat="false" ht="15" hidden="false" customHeight="false" outlineLevel="0" collapsed="false">
      <c r="A2" s="6" t="s">
        <v>15</v>
      </c>
    </row>
    <row r="4" customFormat="false" ht="15" hidden="false" customHeight="false" outlineLevel="0" collapsed="false">
      <c r="A4" s="7" t="s">
        <v>16</v>
      </c>
      <c r="B4" s="7" t="n">
        <f aca="false">COUNTA(Cleaned_DB!$A$2:$A$42)</f>
        <v>41</v>
      </c>
    </row>
    <row r="5" customFormat="false" ht="15" hidden="false" customHeight="false" outlineLevel="0" collapsed="false">
      <c r="A5" s="7" t="s">
        <v>17</v>
      </c>
      <c r="B5" s="7" t="n">
        <f aca="false">SUMPRODUCT(1/COUNTIF(Cleaned_DB!$C$2:$C$42,Cleaned_DB!$C$2:$C$42))</f>
        <v>22</v>
      </c>
    </row>
    <row r="7" customFormat="false" ht="15" hidden="false" customHeight="false" outlineLevel="0" collapsed="false">
      <c r="A7" s="8" t="s">
        <v>18</v>
      </c>
      <c r="B7" s="8" t="s">
        <v>19</v>
      </c>
      <c r="C7" s="8" t="s">
        <v>20</v>
      </c>
    </row>
    <row r="8" customFormat="false" ht="15" hidden="false" customHeight="false" outlineLevel="0" collapsed="false">
      <c r="A8" s="9" t="s">
        <v>21</v>
      </c>
      <c r="B8" s="9" t="n">
        <f aca="false">COUNTIF(Cleaned_DB!$E$2:$E$42,"Crustacea")</f>
        <v>22</v>
      </c>
      <c r="C8" s="10" t="n">
        <f aca="false">B8/$B$4</f>
        <v>0.536585365853659</v>
      </c>
    </row>
    <row r="9" customFormat="false" ht="15" hidden="false" customHeight="false" outlineLevel="0" collapsed="false">
      <c r="A9" s="9" t="s">
        <v>22</v>
      </c>
      <c r="B9" s="9" t="n">
        <f aca="false">COUNTIF(Cleaned_DB!$E$2:$E$42,"Insecta")</f>
        <v>13</v>
      </c>
      <c r="C9" s="10" t="n">
        <f aca="false">B9/$B$4</f>
        <v>0.317073170731707</v>
      </c>
    </row>
    <row r="10" customFormat="false" ht="15" hidden="false" customHeight="false" outlineLevel="0" collapsed="false">
      <c r="A10" s="9" t="s">
        <v>23</v>
      </c>
      <c r="B10" s="9" t="n">
        <f aca="false">COUNTIF(Cleaned_DB!$E$2:$E$42,"Arachnida")</f>
        <v>5</v>
      </c>
      <c r="C10" s="10" t="n">
        <f aca="false">B10/$B$4</f>
        <v>0.121951219512195</v>
      </c>
    </row>
    <row r="11" customFormat="false" ht="15" hidden="false" customHeight="false" outlineLevel="0" collapsed="false">
      <c r="A11" s="9" t="s">
        <v>24</v>
      </c>
      <c r="B11" s="9" t="n">
        <f aca="false">COUNTIF(Cleaned_DB!$E$2:$E$42,"Multi-taxa (review)")</f>
        <v>1</v>
      </c>
      <c r="C11" s="10" t="n">
        <f aca="false">B11/$B$4</f>
        <v>0.024390243902439</v>
      </c>
    </row>
    <row r="13" customFormat="false" ht="15" hidden="false" customHeight="false" outlineLevel="0" collapsed="false">
      <c r="A13" s="8" t="s">
        <v>25</v>
      </c>
      <c r="B13" s="8" t="s">
        <v>19</v>
      </c>
      <c r="C13" s="8" t="s">
        <v>20</v>
      </c>
    </row>
    <row r="14" customFormat="false" ht="15" hidden="false" customHeight="false" outlineLevel="0" collapsed="false">
      <c r="A14" s="9" t="s">
        <v>26</v>
      </c>
      <c r="B14" s="9" t="n">
        <f aca="false">COUNTIF(Cleaned_DB!$F$2:$F$42,"Model / basic biology")</f>
        <v>19</v>
      </c>
      <c r="C14" s="10" t="n">
        <f aca="false">B14/$B$4</f>
        <v>0.463414634146342</v>
      </c>
    </row>
    <row r="15" customFormat="false" ht="15" hidden="false" customHeight="false" outlineLevel="0" collapsed="false">
      <c r="A15" s="9" t="s">
        <v>27</v>
      </c>
      <c r="B15" s="9" t="n">
        <f aca="false">COUNTIF(Cleaned_DB!$F$2:$F$42,"Aquaculture")</f>
        <v>12</v>
      </c>
      <c r="C15" s="10" t="n">
        <f aca="false">B15/$B$4</f>
        <v>0.292682926829268</v>
      </c>
    </row>
    <row r="16" customFormat="false" ht="15" hidden="false" customHeight="false" outlineLevel="0" collapsed="false">
      <c r="A16" s="9" t="s">
        <v>28</v>
      </c>
      <c r="B16" s="9" t="n">
        <f aca="false">COUNTIF(Cleaned_DB!$F$2:$F$42,"Pest / parasite / vector")</f>
        <v>7</v>
      </c>
      <c r="C16" s="10" t="n">
        <f aca="false">B16/$B$4</f>
        <v>0.170731707317073</v>
      </c>
    </row>
    <row r="17" customFormat="false" ht="15" hidden="false" customHeight="false" outlineLevel="0" collapsed="false">
      <c r="A17" s="9" t="s">
        <v>29</v>
      </c>
      <c r="B17" s="9" t="n">
        <f aca="false">COUNTIF(Cleaned_DB!$F$2:$F$42,"Ecotoxicology")</f>
        <v>3</v>
      </c>
      <c r="C17" s="10" t="n">
        <f aca="false">B17/$B$4</f>
        <v>0.0731707317073171</v>
      </c>
    </row>
    <row r="19" customFormat="false" ht="15" hidden="false" customHeight="false" outlineLevel="0" collapsed="false">
      <c r="A19" s="8" t="s">
        <v>30</v>
      </c>
      <c r="B19" s="8" t="s">
        <v>19</v>
      </c>
      <c r="C19" s="8" t="s">
        <v>20</v>
      </c>
    </row>
    <row r="20" customFormat="false" ht="15" hidden="false" customHeight="false" outlineLevel="0" collapsed="false">
      <c r="A20" s="9" t="s">
        <v>31</v>
      </c>
      <c r="B20" s="9" t="n">
        <f aca="false">SUM(Flags!$T$2:$T$42)</f>
        <v>21</v>
      </c>
      <c r="C20" s="10" t="n">
        <f aca="false">B20/$B$4</f>
        <v>0.51219512195122</v>
      </c>
    </row>
    <row r="21" customFormat="false" ht="15" hidden="false" customHeight="false" outlineLevel="0" collapsed="false">
      <c r="A21" s="9" t="s">
        <v>32</v>
      </c>
      <c r="B21" s="9" t="n">
        <f aca="false">SUM(Flags!$U$2:$U$42)</f>
        <v>6</v>
      </c>
      <c r="C21" s="10" t="n">
        <f aca="false">B21/$B$4</f>
        <v>0.146341463414634</v>
      </c>
    </row>
    <row r="22" customFormat="false" ht="15" hidden="false" customHeight="false" outlineLevel="0" collapsed="false">
      <c r="A22" s="9" t="s">
        <v>33</v>
      </c>
      <c r="B22" s="9" t="n">
        <f aca="false">SUM(Flags!$V$2:$V$42)</f>
        <v>5</v>
      </c>
      <c r="C22" s="10" t="n">
        <f aca="false">B22/$B$4</f>
        <v>0.121951219512195</v>
      </c>
    </row>
    <row r="23" customFormat="false" ht="15" hidden="false" customHeight="false" outlineLevel="0" collapsed="false">
      <c r="A23" s="9" t="s">
        <v>34</v>
      </c>
      <c r="B23" s="9" t="n">
        <f aca="false">SUM(Flags!$W$2:$W$42)</f>
        <v>3</v>
      </c>
      <c r="C23" s="10" t="n">
        <f aca="false">B23/$B$4</f>
        <v>0.0731707317073171</v>
      </c>
    </row>
    <row r="24" customFormat="false" ht="15" hidden="false" customHeight="false" outlineLevel="0" collapsed="false">
      <c r="A24" s="9" t="s">
        <v>35</v>
      </c>
      <c r="B24" s="9" t="n">
        <f aca="false">SUM(Flags!$X$2:$X$42)</f>
        <v>3</v>
      </c>
      <c r="C24" s="10" t="n">
        <f aca="false">B24/$B$4</f>
        <v>0.0731707317073171</v>
      </c>
    </row>
    <row r="25" customFormat="false" ht="15" hidden="false" customHeight="false" outlineLevel="0" collapsed="false">
      <c r="A25" s="9" t="s">
        <v>36</v>
      </c>
      <c r="B25" s="9" t="n">
        <f aca="false">SUM(Flags!$Y$2:$Y$42)</f>
        <v>1</v>
      </c>
      <c r="C25" s="10" t="n">
        <f aca="false">B25/$B$4</f>
        <v>0.024390243902439</v>
      </c>
    </row>
    <row r="26" customFormat="false" ht="15" hidden="false" customHeight="false" outlineLevel="0" collapsed="false">
      <c r="A26" s="9" t="s">
        <v>37</v>
      </c>
      <c r="B26" s="9" t="n">
        <f aca="false">SUM(Flags!$Z$2:$Z$42)</f>
        <v>1</v>
      </c>
      <c r="C26" s="10" t="n">
        <f aca="false">B26/$B$4</f>
        <v>0.024390243902439</v>
      </c>
    </row>
    <row r="27" customFormat="false" ht="15" hidden="false" customHeight="false" outlineLevel="0" collapsed="false">
      <c r="A27" s="9" t="s">
        <v>38</v>
      </c>
      <c r="B27" s="9" t="n">
        <f aca="false">SUM(Flags!$AA$2:$AA$42)</f>
        <v>2</v>
      </c>
      <c r="C27" s="10" t="n">
        <f aca="false">B27/$B$4</f>
        <v>0.0487804878048781</v>
      </c>
    </row>
    <row r="28" customFormat="false" ht="15" hidden="false" customHeight="false" outlineLevel="0" collapsed="false">
      <c r="A28" s="9" t="s">
        <v>39</v>
      </c>
      <c r="B28" s="9" t="n">
        <f aca="false">SUM(Flags!$AB$2:$AB$42)</f>
        <v>5</v>
      </c>
      <c r="C28" s="10" t="n">
        <f aca="false">B28/$B$4</f>
        <v>0.121951219512195</v>
      </c>
    </row>
    <row r="29" customFormat="false" ht="15" hidden="false" customHeight="false" outlineLevel="0" collapsed="false">
      <c r="A29" s="9" t="s">
        <v>40</v>
      </c>
      <c r="B29" s="9" t="n">
        <f aca="false">SUM(Flags!$AC$2:$AC$42)</f>
        <v>1</v>
      </c>
      <c r="C29" s="10" t="n">
        <f aca="false">B29/$B$4</f>
        <v>0.024390243902439</v>
      </c>
    </row>
    <row r="30" customFormat="false" ht="15" hidden="false" customHeight="false" outlineLevel="0" collapsed="false">
      <c r="A30" s="9" t="s">
        <v>41</v>
      </c>
      <c r="B30" s="9" t="n">
        <f aca="false">SUM(Flags!$AD$2:$AD$42)</f>
        <v>2</v>
      </c>
      <c r="C30" s="10" t="n">
        <f aca="false">B30/$B$4</f>
        <v>0.0487804878048781</v>
      </c>
    </row>
    <row r="31" customFormat="false" ht="15" hidden="false" customHeight="false" outlineLevel="0" collapsed="false">
      <c r="A31" s="9" t="s">
        <v>42</v>
      </c>
      <c r="B31" s="9" t="n">
        <f aca="false">SUM(Flags!$AE$2:$AE$42)</f>
        <v>1</v>
      </c>
      <c r="C31" s="10" t="n">
        <f aca="false">B31/$B$4</f>
        <v>0.024390243902439</v>
      </c>
    </row>
    <row r="32" customFormat="false" ht="15" hidden="false" customHeight="false" outlineLevel="0" collapsed="false">
      <c r="A32" s="9" t="s">
        <v>43</v>
      </c>
      <c r="B32" s="9" t="n">
        <f aca="false">SUM(Flags!$AF$2:$AF$42)</f>
        <v>5</v>
      </c>
      <c r="C32" s="10" t="n">
        <f aca="false">B32/$B$4</f>
        <v>0.121951219512195</v>
      </c>
    </row>
    <row r="34" customFormat="false" ht="15" hidden="false" customHeight="false" outlineLevel="0" collapsed="false">
      <c r="A34" s="8" t="s">
        <v>44</v>
      </c>
      <c r="B34" s="8" t="s">
        <v>19</v>
      </c>
      <c r="C34" s="8" t="s">
        <v>20</v>
      </c>
    </row>
    <row r="35" customFormat="false" ht="15" hidden="false" customHeight="false" outlineLevel="0" collapsed="false">
      <c r="A35" s="9" t="s">
        <v>45</v>
      </c>
      <c r="B35" s="9" t="n">
        <f aca="false">COUNTIF(Cleaned_DB!$J$2:$J$42,"Proteostasis / Chaperone")</f>
        <v>20</v>
      </c>
      <c r="C35" s="10" t="n">
        <f aca="false">B35/$B$4</f>
        <v>0.487804878048781</v>
      </c>
    </row>
    <row r="36" customFormat="false" ht="15" hidden="false" customHeight="false" outlineLevel="0" collapsed="false">
      <c r="A36" s="9" t="s">
        <v>46</v>
      </c>
      <c r="B36" s="9" t="n">
        <f aca="false">COUNTIF(Cleaned_DB!$J$2:$J$42,"Antioxidant Defense")</f>
        <v>8</v>
      </c>
      <c r="C36" s="10" t="n">
        <f aca="false">B36/$B$4</f>
        <v>0.195121951219512</v>
      </c>
    </row>
    <row r="37" customFormat="false" ht="15" hidden="false" customHeight="false" outlineLevel="0" collapsed="false">
      <c r="A37" s="9" t="s">
        <v>47</v>
      </c>
      <c r="B37" s="9" t="n">
        <f aca="false">COUNTIF(Cleaned_DB!$J$2:$J$42,"Stress Response Regulation")</f>
        <v>7</v>
      </c>
      <c r="C37" s="10" t="n">
        <f aca="false">B37/$B$4</f>
        <v>0.170731707317073</v>
      </c>
    </row>
    <row r="38" customFormat="false" ht="15" hidden="false" customHeight="false" outlineLevel="0" collapsed="false">
      <c r="A38" s="9" t="s">
        <v>48</v>
      </c>
      <c r="B38" s="9" t="n">
        <f aca="false">COUNTIF(Cleaned_DB!$J$2:$J$42,"Other / Mixed")</f>
        <v>3</v>
      </c>
      <c r="C38" s="10" t="n">
        <f aca="false">B38/$B$4</f>
        <v>0.0731707317073171</v>
      </c>
    </row>
    <row r="39" customFormat="false" ht="15" hidden="false" customHeight="false" outlineLevel="0" collapsed="false">
      <c r="A39" s="9" t="s">
        <v>49</v>
      </c>
      <c r="B39" s="9" t="n">
        <f aca="false">COUNTIF(Cleaned_DB!$J$2:$J$42,"Energy Metabolism")</f>
        <v>2</v>
      </c>
      <c r="C39" s="10" t="n">
        <f aca="false">B39/$B$4</f>
        <v>0.0487804878048781</v>
      </c>
    </row>
    <row r="40" customFormat="false" ht="15" hidden="false" customHeight="false" outlineLevel="0" collapsed="false">
      <c r="A40" s="9" t="s">
        <v>50</v>
      </c>
      <c r="B40" s="9" t="n">
        <f aca="false">COUNTIF(Cleaned_DB!$J$2:$J$42,"Cell Structure / Maintenance")</f>
        <v>1</v>
      </c>
      <c r="C40" s="10" t="n">
        <f aca="false">B40/$B$4</f>
        <v>0.024390243902439</v>
      </c>
    </row>
    <row r="42" customFormat="false" ht="15" hidden="false" customHeight="false" outlineLevel="0" collapsed="false">
      <c r="A42" s="8" t="s">
        <v>51</v>
      </c>
      <c r="B42" s="8" t="s">
        <v>19</v>
      </c>
      <c r="C42" s="8" t="s">
        <v>20</v>
      </c>
    </row>
    <row r="43" customFormat="false" ht="15" hidden="false" customHeight="false" outlineLevel="0" collapsed="false">
      <c r="A43" s="9" t="s">
        <v>52</v>
      </c>
      <c r="B43" s="9" t="n">
        <f aca="false">SUM(Flags!$B$2:$B$42)</f>
        <v>9</v>
      </c>
      <c r="C43" s="10" t="n">
        <f aca="false">B43/$B$4</f>
        <v>0.219512195121951</v>
      </c>
    </row>
    <row r="44" customFormat="false" ht="15" hidden="false" customHeight="false" outlineLevel="0" collapsed="false">
      <c r="A44" s="9" t="s">
        <v>53</v>
      </c>
      <c r="B44" s="9" t="n">
        <f aca="false">SUM(Flags!$C$2:$C$42)</f>
        <v>2</v>
      </c>
      <c r="C44" s="10" t="n">
        <f aca="false">B44/$B$4</f>
        <v>0.0487804878048781</v>
      </c>
    </row>
    <row r="45" customFormat="false" ht="15" hidden="false" customHeight="false" outlineLevel="0" collapsed="false">
      <c r="A45" s="9" t="s">
        <v>54</v>
      </c>
      <c r="B45" s="9" t="n">
        <f aca="false">SUM(Flags!$D$2:$D$42)</f>
        <v>6</v>
      </c>
      <c r="C45" s="10" t="n">
        <f aca="false">B45/$B$4</f>
        <v>0.146341463414634</v>
      </c>
    </row>
    <row r="46" customFormat="false" ht="15" hidden="false" customHeight="false" outlineLevel="0" collapsed="false">
      <c r="A46" s="9" t="s">
        <v>55</v>
      </c>
      <c r="B46" s="9" t="n">
        <f aca="false">SUM(Flags!$E$2:$E$42)</f>
        <v>9</v>
      </c>
      <c r="C46" s="10" t="n">
        <f aca="false">B46/$B$4</f>
        <v>0.219512195121951</v>
      </c>
    </row>
    <row r="47" customFormat="false" ht="15" hidden="false" customHeight="false" outlineLevel="0" collapsed="false">
      <c r="A47" s="9" t="s">
        <v>56</v>
      </c>
      <c r="B47" s="9" t="n">
        <f aca="false">SUM(Flags!$F$2:$F$42)</f>
        <v>4</v>
      </c>
      <c r="C47" s="10" t="n">
        <f aca="false">B47/$B$4</f>
        <v>0.0975609756097561</v>
      </c>
    </row>
    <row r="48" customFormat="false" ht="15" hidden="false" customHeight="false" outlineLevel="0" collapsed="false">
      <c r="A48" s="9" t="s">
        <v>57</v>
      </c>
      <c r="B48" s="9" t="n">
        <f aca="false">SUM(Flags!$G$2:$G$42)</f>
        <v>5</v>
      </c>
      <c r="C48" s="10" t="n">
        <f aca="false">B48/$B$4</f>
        <v>0.121951219512195</v>
      </c>
    </row>
    <row r="49" customFormat="false" ht="15" hidden="false" customHeight="false" outlineLevel="0" collapsed="false">
      <c r="A49" s="9" t="s">
        <v>58</v>
      </c>
      <c r="B49" s="9" t="n">
        <f aca="false">SUM(Flags!$H$2:$H$42)</f>
        <v>6</v>
      </c>
      <c r="C49" s="10" t="n">
        <f aca="false">B49/$B$4</f>
        <v>0.146341463414634</v>
      </c>
    </row>
    <row r="50" customFormat="false" ht="15" hidden="false" customHeight="false" outlineLevel="0" collapsed="false">
      <c r="A50" s="9" t="s">
        <v>59</v>
      </c>
      <c r="B50" s="9" t="n">
        <f aca="false">SUM(Flags!$I$2:$I$42)</f>
        <v>3</v>
      </c>
      <c r="C50" s="10" t="n">
        <f aca="false">B50/$B$4</f>
        <v>0.0731707317073171</v>
      </c>
    </row>
    <row r="51" customFormat="false" ht="15" hidden="false" customHeight="false" outlineLevel="0" collapsed="false">
      <c r="A51" s="9" t="s">
        <v>60</v>
      </c>
      <c r="B51" s="9" t="n">
        <f aca="false">SUM(Flags!$J$2:$J$42)</f>
        <v>6</v>
      </c>
      <c r="C51" s="10" t="n">
        <f aca="false">B51/$B$4</f>
        <v>0.146341463414634</v>
      </c>
    </row>
    <row r="52" customFormat="false" ht="15" hidden="false" customHeight="false" outlineLevel="0" collapsed="false">
      <c r="A52" s="9" t="s">
        <v>61</v>
      </c>
      <c r="B52" s="9" t="n">
        <f aca="false">SUM(Flags!$K$2:$K$42)</f>
        <v>1</v>
      </c>
      <c r="C52" s="10" t="n">
        <f aca="false">B52/$B$4</f>
        <v>0.024390243902439</v>
      </c>
    </row>
    <row r="54" customFormat="false" ht="15" hidden="false" customHeight="false" outlineLevel="0" collapsed="false">
      <c r="A54" s="8" t="s">
        <v>62</v>
      </c>
      <c r="B54" s="8" t="s">
        <v>19</v>
      </c>
      <c r="C54" s="8" t="s">
        <v>20</v>
      </c>
    </row>
    <row r="55" customFormat="false" ht="15" hidden="false" customHeight="false" outlineLevel="0" collapsed="false">
      <c r="A55" s="9" t="s">
        <v>63</v>
      </c>
      <c r="B55" s="9" t="n">
        <f aca="false">SUM(Flags!$L$2:$L$42)</f>
        <v>29</v>
      </c>
      <c r="C55" s="10" t="n">
        <f aca="false">B55/$B$4</f>
        <v>0.707317073170732</v>
      </c>
    </row>
    <row r="56" customFormat="false" ht="15" hidden="false" customHeight="false" outlineLevel="0" collapsed="false">
      <c r="A56" s="9" t="s">
        <v>64</v>
      </c>
      <c r="B56" s="9" t="n">
        <f aca="false">SUM(Flags!$M$2:$M$42)</f>
        <v>11</v>
      </c>
      <c r="C56" s="10" t="n">
        <f aca="false">B56/$B$4</f>
        <v>0.268292682926829</v>
      </c>
    </row>
    <row r="57" customFormat="false" ht="15" hidden="false" customHeight="false" outlineLevel="0" collapsed="false">
      <c r="A57" s="9" t="s">
        <v>65</v>
      </c>
      <c r="B57" s="9" t="n">
        <f aca="false">SUM(Flags!$N$2:$N$42)</f>
        <v>12</v>
      </c>
      <c r="C57" s="10" t="n">
        <f aca="false">B57/$B$4</f>
        <v>0.292682926829268</v>
      </c>
    </row>
    <row r="58" customFormat="false" ht="15" hidden="false" customHeight="false" outlineLevel="0" collapsed="false">
      <c r="A58" s="9" t="s">
        <v>66</v>
      </c>
      <c r="B58" s="9" t="n">
        <f aca="false">SUM(Flags!$O$2:$O$42)</f>
        <v>3</v>
      </c>
      <c r="C58" s="10" t="n">
        <f aca="false">B58/$B$4</f>
        <v>0.0731707317073171</v>
      </c>
    </row>
    <row r="59" customFormat="false" ht="15" hidden="false" customHeight="false" outlineLevel="0" collapsed="false">
      <c r="A59" s="9" t="s">
        <v>67</v>
      </c>
      <c r="B59" s="9" t="n">
        <f aca="false">SUM(Flags!$P$2:$P$42)</f>
        <v>5</v>
      </c>
      <c r="C59" s="10" t="n">
        <f aca="false">B59/$B$4</f>
        <v>0.121951219512195</v>
      </c>
    </row>
    <row r="60" customFormat="false" ht="15" hidden="false" customHeight="false" outlineLevel="0" collapsed="false">
      <c r="A60" s="9" t="s">
        <v>68</v>
      </c>
      <c r="B60" s="9" t="n">
        <f aca="false">SUM(Flags!$Q$2:$Q$42)</f>
        <v>2</v>
      </c>
      <c r="C60" s="10" t="n">
        <f aca="false">B60/$B$4</f>
        <v>0.0487804878048781</v>
      </c>
    </row>
    <row r="61" customFormat="false" ht="15" hidden="false" customHeight="false" outlineLevel="0" collapsed="false">
      <c r="A61" s="9" t="s">
        <v>69</v>
      </c>
      <c r="B61" s="9" t="n">
        <f aca="false">SUM(Flags!$R$2:$R$42)</f>
        <v>2</v>
      </c>
      <c r="C61" s="10" t="n">
        <f aca="false">B61/$B$4</f>
        <v>0.0487804878048781</v>
      </c>
    </row>
    <row r="62" customFormat="false" ht="15" hidden="false" customHeight="false" outlineLevel="0" collapsed="false">
      <c r="A62" s="9" t="s">
        <v>70</v>
      </c>
      <c r="B62" s="9" t="n">
        <f aca="false">SUM(Flags!$S$2:$S$42)</f>
        <v>3</v>
      </c>
      <c r="C62" s="10" t="n">
        <f aca="false">B62/$B$4</f>
        <v>0.0731707317073171</v>
      </c>
    </row>
    <row r="64" customFormat="false" ht="15" hidden="false" customHeight="false" outlineLevel="0" collapsed="false">
      <c r="A64" s="8" t="s">
        <v>71</v>
      </c>
      <c r="B64" s="8" t="s">
        <v>19</v>
      </c>
      <c r="C64" s="8" t="s">
        <v>20</v>
      </c>
    </row>
    <row r="65" customFormat="false" ht="15" hidden="false" customHeight="false" outlineLevel="0" collapsed="false">
      <c r="A65" s="9" t="s">
        <v>72</v>
      </c>
      <c r="B65" s="9" t="n">
        <f aca="false">COUNTIF(Cleaned_DB!$L$2:$L$42,"Gene Expression Analysis")</f>
        <v>21</v>
      </c>
      <c r="C65" s="10" t="n">
        <f aca="false">B65/$B$4</f>
        <v>0.51219512195122</v>
      </c>
    </row>
    <row r="66" customFormat="false" ht="15" hidden="false" customHeight="false" outlineLevel="0" collapsed="false">
      <c r="A66" s="9" t="s">
        <v>48</v>
      </c>
      <c r="B66" s="9" t="n">
        <f aca="false">COUNTIF(Cleaned_DB!$L$2:$L$42,"Other / Mixed")</f>
        <v>9</v>
      </c>
      <c r="C66" s="10" t="n">
        <f aca="false">B66/$B$4</f>
        <v>0.219512195121951</v>
      </c>
    </row>
    <row r="67" customFormat="false" ht="15" hidden="false" customHeight="false" outlineLevel="0" collapsed="false">
      <c r="A67" s="9" t="s">
        <v>73</v>
      </c>
      <c r="B67" s="9" t="n">
        <f aca="false">COUNTIF(Cleaned_DB!$L$2:$L$42,"Gene Knockdown / RNAi")</f>
        <v>6</v>
      </c>
      <c r="C67" s="10" t="n">
        <f aca="false">B67/$B$4</f>
        <v>0.146341463414634</v>
      </c>
    </row>
    <row r="68" customFormat="false" ht="15" hidden="false" customHeight="false" outlineLevel="0" collapsed="false">
      <c r="A68" s="9" t="s">
        <v>74</v>
      </c>
      <c r="B68" s="9" t="n">
        <f aca="false">COUNTIF(Cleaned_DB!$L$2:$L$42,"Protein / Enzyme Activity")</f>
        <v>3</v>
      </c>
      <c r="C68" s="10" t="n">
        <f aca="false">B68/$B$4</f>
        <v>0.0731707317073171</v>
      </c>
    </row>
    <row r="69" customFormat="false" ht="15" hidden="false" customHeight="false" outlineLevel="0" collapsed="false">
      <c r="A69" s="9" t="s">
        <v>75</v>
      </c>
      <c r="B69" s="9" t="n">
        <f aca="false">COUNTIF(Cleaned_DB!$L$2:$L$42,"Histology / Microscopy")</f>
        <v>1</v>
      </c>
      <c r="C69" s="10" t="n">
        <f aca="false">B69/$B$4</f>
        <v>0.024390243902439</v>
      </c>
    </row>
    <row r="70" customFormat="false" ht="15" hidden="false" customHeight="false" outlineLevel="0" collapsed="false">
      <c r="A70" s="9" t="s">
        <v>76</v>
      </c>
      <c r="B70" s="9" t="n">
        <f aca="false">COUNTIF(Cleaned_DB!$L$2:$L$42,"Genomic / Sequence Analysis")</f>
        <v>1</v>
      </c>
      <c r="C70" s="10" t="n">
        <f aca="false">B70/$B$4</f>
        <v>0.024390243902439</v>
      </c>
    </row>
    <row r="72" customFormat="false" ht="15" hidden="false" customHeight="false" outlineLevel="0" collapsed="false">
      <c r="A72" s="8" t="s">
        <v>77</v>
      </c>
      <c r="B72" s="8" t="s">
        <v>19</v>
      </c>
      <c r="C72" s="8" t="s">
        <v>20</v>
      </c>
    </row>
    <row r="73" customFormat="false" ht="15" hidden="false" customHeight="false" outlineLevel="0" collapsed="false">
      <c r="A73" s="9" t="s">
        <v>78</v>
      </c>
      <c r="B73" s="9" t="n">
        <f aca="false">COUNTIF(Cleaned_DB!$M$2:$M$42,"Correlational (expression / association)")</f>
        <v>24</v>
      </c>
      <c r="C73" s="10" t="n">
        <f aca="false">B73/$B$4</f>
        <v>0.585365853658537</v>
      </c>
    </row>
    <row r="74" customFormat="false" ht="15" hidden="false" customHeight="false" outlineLevel="0" collapsed="false">
      <c r="A74" s="9" t="s">
        <v>79</v>
      </c>
      <c r="B74" s="9" t="n">
        <f aca="false">COUNTIF(Cleaned_DB!$M$2:$M$42,"Causal (loss/gain-of-function)")</f>
        <v>12</v>
      </c>
      <c r="C74" s="10" t="n">
        <f aca="false">B74/$B$4</f>
        <v>0.292682926829268</v>
      </c>
    </row>
    <row r="75" customFormat="false" ht="15" hidden="false" customHeight="false" outlineLevel="0" collapsed="false">
      <c r="A75" s="9" t="s">
        <v>80</v>
      </c>
      <c r="B75" s="9" t="n">
        <f aca="false">COUNTIF(Cleaned_DB!$M$2:$M$42,"Physiological / biomarker")</f>
        <v>5</v>
      </c>
      <c r="C75" s="10" t="n">
        <f aca="false">B75/$B$4</f>
        <v>0.121951219512195</v>
      </c>
    </row>
    <row r="77" customFormat="false" ht="15" hidden="false" customHeight="false" outlineLevel="0" collapsed="false">
      <c r="A77" s="8" t="s">
        <v>81</v>
      </c>
      <c r="B77" s="8" t="s">
        <v>19</v>
      </c>
      <c r="C77" s="8" t="s">
        <v>20</v>
      </c>
    </row>
    <row r="78" customFormat="false" ht="15" hidden="false" customHeight="false" outlineLevel="0" collapsed="false">
      <c r="A78" s="9" t="s">
        <v>82</v>
      </c>
      <c r="B78" s="9" t="n">
        <f aca="false">COUNTIF(Cleaned_DB!$N$2:$N$42,"Yes")</f>
        <v>12</v>
      </c>
      <c r="C78" s="10" t="n">
        <f aca="false">B78/$B$4</f>
        <v>0.292682926829268</v>
      </c>
    </row>
    <row r="79" customFormat="false" ht="15" hidden="false" customHeight="false" outlineLevel="0" collapsed="false">
      <c r="A79" s="9" t="s">
        <v>83</v>
      </c>
      <c r="B79" s="9" t="n">
        <f aca="false">COUNTIF(Cleaned_DB!$N$2:$N$42,"No")</f>
        <v>29</v>
      </c>
      <c r="C79" s="10" t="n">
        <f aca="false">B79/$B$4</f>
        <v>0.707317073170732</v>
      </c>
    </row>
    <row r="81" customFormat="false" ht="15" hidden="false" customHeight="false" outlineLevel="0" collapsed="false">
      <c r="A81" s="8" t="s">
        <v>84</v>
      </c>
      <c r="B81" s="8" t="s">
        <v>19</v>
      </c>
      <c r="C81" s="8" t="s">
        <v>20</v>
      </c>
    </row>
    <row r="82" customFormat="false" ht="15" hidden="false" customHeight="false" outlineLevel="0" collapsed="false">
      <c r="A82" s="9" t="s">
        <v>85</v>
      </c>
      <c r="B82" s="9" t="n">
        <f aca="false">COUNTIF(Cleaned_DB!$C$2:$C$42,"Artemia franciscana")</f>
        <v>8</v>
      </c>
      <c r="C82" s="10" t="n">
        <f aca="false">B82/$B$4</f>
        <v>0.195121951219512</v>
      </c>
    </row>
    <row r="83" customFormat="false" ht="15" hidden="false" customHeight="false" outlineLevel="0" collapsed="false">
      <c r="A83" s="9" t="s">
        <v>86</v>
      </c>
      <c r="B83" s="9" t="n">
        <f aca="false">COUNTIF(Cleaned_DB!$C$2:$C$42,"Penaeus vannamei")</f>
        <v>5</v>
      </c>
      <c r="C83" s="10" t="n">
        <f aca="false">B83/$B$4</f>
        <v>0.121951219512195</v>
      </c>
    </row>
    <row r="84" customFormat="false" ht="15" hidden="false" customHeight="false" outlineLevel="0" collapsed="false">
      <c r="A84" s="9" t="s">
        <v>87</v>
      </c>
      <c r="B84" s="9" t="n">
        <f aca="false">COUNTIF(Cleaned_DB!$C$2:$C$42,"Drosophila melanogaster")</f>
        <v>4</v>
      </c>
      <c r="C84" s="10" t="n">
        <f aca="false">B84/$B$4</f>
        <v>0.0975609756097561</v>
      </c>
    </row>
    <row r="85" customFormat="false" ht="15" hidden="false" customHeight="false" outlineLevel="0" collapsed="false">
      <c r="A85" s="9" t="s">
        <v>88</v>
      </c>
      <c r="B85" s="9" t="n">
        <f aca="false">COUNTIF(Cleaned_DB!$C$2:$C$42,"Penaeus monodon")</f>
        <v>2</v>
      </c>
      <c r="C85" s="10" t="n">
        <f aca="false">B85/$B$4</f>
        <v>0.0487804878048781</v>
      </c>
    </row>
    <row r="86" customFormat="false" ht="15" hidden="false" customHeight="false" outlineLevel="0" collapsed="false">
      <c r="A86" s="9" t="s">
        <v>89</v>
      </c>
      <c r="B86" s="9" t="n">
        <f aca="false">COUNTIF(Cleaned_DB!$C$2:$C$42,"Chironomus riparius")</f>
        <v>2</v>
      </c>
      <c r="C86" s="10" t="n">
        <f aca="false">B86/$B$4</f>
        <v>0.0487804878048781</v>
      </c>
    </row>
    <row r="87" customFormat="false" ht="15" hidden="false" customHeight="false" outlineLevel="0" collapsed="false">
      <c r="A87" s="9" t="s">
        <v>90</v>
      </c>
      <c r="B87" s="9" t="n">
        <f aca="false">COUNTIF(Cleaned_DB!$C$2:$C$42,"Procambarus clarkii")</f>
        <v>2</v>
      </c>
      <c r="C87" s="10" t="n">
        <f aca="false">B87/$B$4</f>
        <v>0.0487804878048781</v>
      </c>
    </row>
    <row r="88" customFormat="false" ht="15" hidden="false" customHeight="false" outlineLevel="0" collapsed="false">
      <c r="A88" s="9" t="s">
        <v>91</v>
      </c>
      <c r="B88" s="9" t="n">
        <f aca="false">COUNTIF(Cleaned_DB!$C$2:$C$42,"Macrobrachium rosenbergii")</f>
        <v>2</v>
      </c>
      <c r="C88" s="10" t="n">
        <f aca="false">B88/$B$4</f>
        <v>0.0487804878048781</v>
      </c>
    </row>
    <row r="89" customFormat="false" ht="15" hidden="false" customHeight="false" outlineLevel="0" collapsed="false">
      <c r="A89" s="9" t="s">
        <v>92</v>
      </c>
      <c r="B89" s="9" t="n">
        <f aca="false">COUNTIF(Cleaned_DB!$C$2:$C$42,"Musca domestica")</f>
        <v>2</v>
      </c>
      <c r="C89" s="10" t="n">
        <f aca="false">B89/$B$4</f>
        <v>0.0487804878048781</v>
      </c>
    </row>
    <row r="90" customFormat="false" ht="15" hidden="false" customHeight="false" outlineLevel="0" collapsed="false">
      <c r="A90" s="9" t="s">
        <v>93</v>
      </c>
      <c r="B90" s="9" t="n">
        <f aca="false">COUNTIF(Cleaned_DB!$C$2:$C$42,"Neoseiulus barkeri")</f>
        <v>1</v>
      </c>
      <c r="C90" s="10" t="n">
        <f aca="false">B90/$B$4</f>
        <v>0.024390243902439</v>
      </c>
    </row>
    <row r="91" customFormat="false" ht="15" hidden="false" customHeight="false" outlineLevel="0" collapsed="false">
      <c r="A91" s="9" t="s">
        <v>94</v>
      </c>
      <c r="B91" s="9" t="n">
        <f aca="false">COUNTIF(Cleaned_DB!$C$2:$C$42,"Pseudolycoriella hygida")</f>
        <v>1</v>
      </c>
      <c r="C91" s="10" t="n">
        <f aca="false">B91/$B$4</f>
        <v>0.024390243902439</v>
      </c>
    </row>
    <row r="92" customFormat="false" ht="15" hidden="false" customHeight="false" outlineLevel="0" collapsed="false">
      <c r="A92" s="9" t="s">
        <v>95</v>
      </c>
      <c r="B92" s="9" t="n">
        <f aca="false">COUNTIF(Cleaned_DB!$C$2:$C$42,"Tenebrio molitor")</f>
        <v>1</v>
      </c>
      <c r="C92" s="10" t="n">
        <f aca="false">B92/$B$4</f>
        <v>0.024390243902439</v>
      </c>
    </row>
    <row r="93" customFormat="false" ht="15" hidden="false" customHeight="false" outlineLevel="0" collapsed="false">
      <c r="A93" s="9" t="s">
        <v>96</v>
      </c>
      <c r="B93" s="9" t="n">
        <f aca="false">COUNTIF(Cleaned_DB!$C$2:$C$42,"Eriocheir sinensis")</f>
        <v>1</v>
      </c>
      <c r="C93" s="10" t="n">
        <f aca="false">B93/$B$4</f>
        <v>0.024390243902439</v>
      </c>
    </row>
    <row r="94" customFormat="false" ht="15" hidden="false" customHeight="false" outlineLevel="0" collapsed="false">
      <c r="A94" s="9" t="s">
        <v>97</v>
      </c>
      <c r="B94" s="9" t="n">
        <f aca="false">COUNTIF(Cleaned_DB!$C$2:$C$42,"Chrysomya albiceps")</f>
        <v>1</v>
      </c>
      <c r="C94" s="10" t="n">
        <f aca="false">B94/$B$4</f>
        <v>0.024390243902439</v>
      </c>
    </row>
    <row r="95" customFormat="false" ht="15" hidden="false" customHeight="false" outlineLevel="0" collapsed="false">
      <c r="A95" s="9" t="s">
        <v>98</v>
      </c>
      <c r="B95" s="9" t="n">
        <f aca="false">COUNTIF(Cleaned_DB!$C$2:$C$42,"Haemaphysalis flava")</f>
        <v>1</v>
      </c>
      <c r="C95" s="10" t="n">
        <f aca="false">B95/$B$4</f>
        <v>0.024390243902439</v>
      </c>
    </row>
    <row r="96" customFormat="false" ht="15" hidden="false" customHeight="false" outlineLevel="0" collapsed="false">
      <c r="A96" s="9" t="s">
        <v>99</v>
      </c>
      <c r="B96" s="9" t="n">
        <f aca="false">COUNTIF(Cleaned_DB!$C$2:$C$42,"Rhipicephalus haemaphysaloides")</f>
        <v>1</v>
      </c>
      <c r="C96" s="10" t="n">
        <f aca="false">B96/$B$4</f>
        <v>0.024390243902439</v>
      </c>
    </row>
    <row r="97" customFormat="false" ht="15" hidden="false" customHeight="false" outlineLevel="0" collapsed="false">
      <c r="A97" s="9" t="s">
        <v>100</v>
      </c>
      <c r="B97" s="9" t="n">
        <f aca="false">COUNTIF(Cleaned_DB!$C$2:$C$42,"Rhipicephalus (Boophilus) microplus")</f>
        <v>1</v>
      </c>
      <c r="C97" s="10" t="n">
        <f aca="false">B97/$B$4</f>
        <v>0.024390243902439</v>
      </c>
    </row>
    <row r="98" customFormat="false" ht="15" hidden="false" customHeight="false" outlineLevel="0" collapsed="false">
      <c r="A98" s="9" t="s">
        <v>101</v>
      </c>
      <c r="B98" s="9" t="n">
        <f aca="false">COUNTIF(Cleaned_DB!$C$2:$C$42,"Varroa destructor")</f>
        <v>1</v>
      </c>
      <c r="C98" s="10" t="n">
        <f aca="false">B98/$B$4</f>
        <v>0.024390243902439</v>
      </c>
    </row>
    <row r="99" customFormat="false" ht="15" hidden="false" customHeight="false" outlineLevel="0" collapsed="false">
      <c r="A99" s="9" t="s">
        <v>102</v>
      </c>
      <c r="B99" s="9" t="n">
        <f aca="false">COUNTIF(Cleaned_DB!$C$2:$C$42,"Apis cerana cerana")</f>
        <v>1</v>
      </c>
      <c r="C99" s="10" t="n">
        <f aca="false">B99/$B$4</f>
        <v>0.024390243902439</v>
      </c>
    </row>
    <row r="100" customFormat="false" ht="15" hidden="false" customHeight="false" outlineLevel="0" collapsed="false">
      <c r="A100" s="9" t="s">
        <v>103</v>
      </c>
      <c r="B100" s="9" t="n">
        <f aca="false">COUNTIF(Cleaned_DB!$C$2:$C$42,"Daphnia pulicaria, Daphnia pulex")</f>
        <v>1</v>
      </c>
      <c r="C100" s="10" t="n">
        <f aca="false">B100/$B$4</f>
        <v>0.024390243902439</v>
      </c>
    </row>
    <row r="101" customFormat="false" ht="15" hidden="false" customHeight="false" outlineLevel="0" collapsed="false">
      <c r="A101" s="9" t="s">
        <v>104</v>
      </c>
      <c r="B101" s="9" t="n">
        <f aca="false">COUNTIF(Cleaned_DB!$C$2:$C$42,"Oncopeltus fasciatus")</f>
        <v>1</v>
      </c>
      <c r="C101" s="10" t="n">
        <f aca="false">B101/$B$4</f>
        <v>0.024390243902439</v>
      </c>
    </row>
    <row r="102" customFormat="false" ht="15" hidden="false" customHeight="false" outlineLevel="0" collapsed="false">
      <c r="A102" s="9" t="s">
        <v>105</v>
      </c>
      <c r="B102" s="9" t="n">
        <f aca="false">COUNTIF(Cleaned_DB!$C$2:$C$42,"S. cerevisiae, C. elegans, D. melanogaster")</f>
        <v>1</v>
      </c>
      <c r="C102" s="10" t="n">
        <f aca="false">B102/$B$4</f>
        <v>0.024390243902439</v>
      </c>
    </row>
    <row r="103" customFormat="false" ht="15" hidden="false" customHeight="false" outlineLevel="0" collapsed="false">
      <c r="A103" s="9" t="s">
        <v>106</v>
      </c>
      <c r="B103" s="9" t="n">
        <f aca="false">COUNTIF(Cleaned_DB!$C$2:$C$42,"Tigriopus californicus")</f>
        <v>1</v>
      </c>
      <c r="C103" s="10" t="n">
        <f aca="false">B103/$B$4</f>
        <v>0.024390243902439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10" min="2" style="0" width="16"/>
  </cols>
  <sheetData>
    <row r="1" customFormat="false" ht="17.35" hidden="false" customHeight="false" outlineLevel="0" collapsed="false">
      <c r="A1" s="5" t="s">
        <v>107</v>
      </c>
    </row>
    <row r="2" customFormat="false" ht="15" hidden="false" customHeight="false" outlineLevel="0" collapsed="false">
      <c r="A2" s="6" t="s">
        <v>108</v>
      </c>
    </row>
    <row r="4" customFormat="false" ht="60" hidden="false" customHeight="true" outlineLevel="0" collapsed="false">
      <c r="A4" s="11" t="s">
        <v>109</v>
      </c>
      <c r="B4" s="11" t="s">
        <v>63</v>
      </c>
      <c r="C4" s="11" t="s">
        <v>64</v>
      </c>
      <c r="D4" s="11" t="s">
        <v>65</v>
      </c>
      <c r="E4" s="11" t="s">
        <v>66</v>
      </c>
      <c r="F4" s="11" t="s">
        <v>67</v>
      </c>
      <c r="G4" s="11" t="s">
        <v>68</v>
      </c>
      <c r="H4" s="11" t="s">
        <v>69</v>
      </c>
      <c r="I4" s="11" t="s">
        <v>70</v>
      </c>
      <c r="J4" s="11" t="s">
        <v>19</v>
      </c>
    </row>
    <row r="5" customFormat="false" ht="15" hidden="false" customHeight="false" outlineLevel="0" collapsed="false">
      <c r="A5" s="7" t="s">
        <v>52</v>
      </c>
      <c r="B5" s="12" t="n">
        <f aca="false">SUMPRODUCT(Flags!$B$2:$B$42,Flags!$L$2:$L$42)</f>
        <v>6</v>
      </c>
      <c r="C5" s="12" t="n">
        <f aca="false">SUMPRODUCT(Flags!$B$2:$B$42,Flags!$M$2:$M$42)</f>
        <v>1</v>
      </c>
      <c r="D5" s="12" t="n">
        <f aca="false">SUMPRODUCT(Flags!$B$2:$B$42,Flags!$N$2:$N$42)</f>
        <v>3</v>
      </c>
      <c r="E5" s="12" t="n">
        <f aca="false">SUMPRODUCT(Flags!$B$2:$B$42,Flags!$O$2:$O$42)</f>
        <v>1</v>
      </c>
      <c r="F5" s="12" t="n">
        <f aca="false">SUMPRODUCT(Flags!$B$2:$B$42,Flags!$P$2:$P$42)</f>
        <v>1</v>
      </c>
      <c r="G5" s="12" t="n">
        <f aca="false">SUMPRODUCT(Flags!$B$2:$B$42,Flags!$Q$2:$Q$42)</f>
        <v>0</v>
      </c>
      <c r="H5" s="12" t="n">
        <f aca="false">SUMPRODUCT(Flags!$B$2:$B$42,Flags!$R$2:$R$42)</f>
        <v>1</v>
      </c>
      <c r="I5" s="12" t="n">
        <f aca="false">SUMPRODUCT(Flags!$B$2:$B$42,Flags!$S$2:$S$42)</f>
        <v>2</v>
      </c>
      <c r="J5" s="13" t="n">
        <f aca="false">SUM(Flags!$B$2:$B$42)</f>
        <v>9</v>
      </c>
    </row>
    <row r="6" customFormat="false" ht="15" hidden="false" customHeight="false" outlineLevel="0" collapsed="false">
      <c r="A6" s="7" t="s">
        <v>53</v>
      </c>
      <c r="B6" s="12" t="n">
        <f aca="false">SUMPRODUCT(Flags!$C$2:$C$42,Flags!$L$2:$L$42)</f>
        <v>1</v>
      </c>
      <c r="C6" s="12" t="n">
        <f aca="false">SUMPRODUCT(Flags!$C$2:$C$42,Flags!$M$2:$M$42)</f>
        <v>1</v>
      </c>
      <c r="D6" s="12" t="n">
        <f aca="false">SUMPRODUCT(Flags!$C$2:$C$42,Flags!$N$2:$N$42)</f>
        <v>0</v>
      </c>
      <c r="E6" s="12" t="n">
        <f aca="false">SUMPRODUCT(Flags!$C$2:$C$42,Flags!$O$2:$O$42)</f>
        <v>0</v>
      </c>
      <c r="F6" s="12" t="n">
        <f aca="false">SUMPRODUCT(Flags!$C$2:$C$42,Flags!$P$2:$P$42)</f>
        <v>0</v>
      </c>
      <c r="G6" s="12" t="n">
        <f aca="false">SUMPRODUCT(Flags!$C$2:$C$42,Flags!$Q$2:$Q$42)</f>
        <v>0</v>
      </c>
      <c r="H6" s="12" t="n">
        <f aca="false">SUMPRODUCT(Flags!$C$2:$C$42,Flags!$R$2:$R$42)</f>
        <v>0</v>
      </c>
      <c r="I6" s="12" t="n">
        <f aca="false">SUMPRODUCT(Flags!$C$2:$C$42,Flags!$S$2:$S$42)</f>
        <v>0</v>
      </c>
      <c r="J6" s="13" t="n">
        <f aca="false">SUM(Flags!$C$2:$C$42)</f>
        <v>2</v>
      </c>
    </row>
    <row r="7" customFormat="false" ht="15" hidden="false" customHeight="false" outlineLevel="0" collapsed="false">
      <c r="A7" s="7" t="s">
        <v>54</v>
      </c>
      <c r="B7" s="12" t="n">
        <f aca="false">SUMPRODUCT(Flags!$D$2:$D$42,Flags!$L$2:$L$42)</f>
        <v>5</v>
      </c>
      <c r="C7" s="12" t="n">
        <f aca="false">SUMPRODUCT(Flags!$D$2:$D$42,Flags!$M$2:$M$42)</f>
        <v>1</v>
      </c>
      <c r="D7" s="12" t="n">
        <f aca="false">SUMPRODUCT(Flags!$D$2:$D$42,Flags!$N$2:$N$42)</f>
        <v>2</v>
      </c>
      <c r="E7" s="12" t="n">
        <f aca="false">SUMPRODUCT(Flags!$D$2:$D$42,Flags!$O$2:$O$42)</f>
        <v>0</v>
      </c>
      <c r="F7" s="12" t="n">
        <f aca="false">SUMPRODUCT(Flags!$D$2:$D$42,Flags!$P$2:$P$42)</f>
        <v>1</v>
      </c>
      <c r="G7" s="12" t="n">
        <f aca="false">SUMPRODUCT(Flags!$D$2:$D$42,Flags!$Q$2:$Q$42)</f>
        <v>0</v>
      </c>
      <c r="H7" s="12" t="n">
        <f aca="false">SUMPRODUCT(Flags!$D$2:$D$42,Flags!$R$2:$R$42)</f>
        <v>0</v>
      </c>
      <c r="I7" s="12" t="n">
        <f aca="false">SUMPRODUCT(Flags!$D$2:$D$42,Flags!$S$2:$S$42)</f>
        <v>0</v>
      </c>
      <c r="J7" s="13" t="n">
        <f aca="false">SUM(Flags!$D$2:$D$42)</f>
        <v>6</v>
      </c>
    </row>
    <row r="8" customFormat="false" ht="15" hidden="false" customHeight="false" outlineLevel="0" collapsed="false">
      <c r="A8" s="7" t="s">
        <v>55</v>
      </c>
      <c r="B8" s="12" t="n">
        <f aca="false">SUMPRODUCT(Flags!$E$2:$E$42,Flags!$L$2:$L$42)</f>
        <v>9</v>
      </c>
      <c r="C8" s="12" t="n">
        <f aca="false">SUMPRODUCT(Flags!$E$2:$E$42,Flags!$M$2:$M$42)</f>
        <v>2</v>
      </c>
      <c r="D8" s="12" t="n">
        <f aca="false">SUMPRODUCT(Flags!$E$2:$E$42,Flags!$N$2:$N$42)</f>
        <v>8</v>
      </c>
      <c r="E8" s="12" t="n">
        <f aca="false">SUMPRODUCT(Flags!$E$2:$E$42,Flags!$O$2:$O$42)</f>
        <v>1</v>
      </c>
      <c r="F8" s="12" t="n">
        <f aca="false">SUMPRODUCT(Flags!$E$2:$E$42,Flags!$P$2:$P$42)</f>
        <v>0</v>
      </c>
      <c r="G8" s="12" t="n">
        <f aca="false">SUMPRODUCT(Flags!$E$2:$E$42,Flags!$Q$2:$Q$42)</f>
        <v>0</v>
      </c>
      <c r="H8" s="12" t="n">
        <f aca="false">SUMPRODUCT(Flags!$E$2:$E$42,Flags!$R$2:$R$42)</f>
        <v>1</v>
      </c>
      <c r="I8" s="12" t="n">
        <f aca="false">SUMPRODUCT(Flags!$E$2:$E$42,Flags!$S$2:$S$42)</f>
        <v>0</v>
      </c>
      <c r="J8" s="13" t="n">
        <f aca="false">SUM(Flags!$E$2:$E$42)</f>
        <v>9</v>
      </c>
    </row>
    <row r="9" customFormat="false" ht="15" hidden="false" customHeight="false" outlineLevel="0" collapsed="false">
      <c r="A9" s="7" t="s">
        <v>56</v>
      </c>
      <c r="B9" s="12" t="n">
        <f aca="false">SUMPRODUCT(Flags!$F$2:$F$42,Flags!$L$2:$L$42)</f>
        <v>4</v>
      </c>
      <c r="C9" s="12" t="n">
        <f aca="false">SUMPRODUCT(Flags!$F$2:$F$42,Flags!$M$2:$M$42)</f>
        <v>1</v>
      </c>
      <c r="D9" s="12" t="n">
        <f aca="false">SUMPRODUCT(Flags!$F$2:$F$42,Flags!$N$2:$N$42)</f>
        <v>1</v>
      </c>
      <c r="E9" s="12" t="n">
        <f aca="false">SUMPRODUCT(Flags!$F$2:$F$42,Flags!$O$2:$O$42)</f>
        <v>1</v>
      </c>
      <c r="F9" s="12" t="n">
        <f aca="false">SUMPRODUCT(Flags!$F$2:$F$42,Flags!$P$2:$P$42)</f>
        <v>0</v>
      </c>
      <c r="G9" s="12" t="n">
        <f aca="false">SUMPRODUCT(Flags!$F$2:$F$42,Flags!$Q$2:$Q$42)</f>
        <v>0</v>
      </c>
      <c r="H9" s="12" t="n">
        <f aca="false">SUMPRODUCT(Flags!$F$2:$F$42,Flags!$R$2:$R$42)</f>
        <v>0</v>
      </c>
      <c r="I9" s="12" t="n">
        <f aca="false">SUMPRODUCT(Flags!$F$2:$F$42,Flags!$S$2:$S$42)</f>
        <v>0</v>
      </c>
      <c r="J9" s="13" t="n">
        <f aca="false">SUM(Flags!$F$2:$F$42)</f>
        <v>4</v>
      </c>
    </row>
    <row r="10" customFormat="false" ht="15" hidden="false" customHeight="false" outlineLevel="0" collapsed="false">
      <c r="A10" s="7" t="s">
        <v>57</v>
      </c>
      <c r="B10" s="12" t="n">
        <f aca="false">SUMPRODUCT(Flags!$G$2:$G$42,Flags!$L$2:$L$42)</f>
        <v>3</v>
      </c>
      <c r="C10" s="12" t="n">
        <f aca="false">SUMPRODUCT(Flags!$G$2:$G$42,Flags!$M$2:$M$42)</f>
        <v>0</v>
      </c>
      <c r="D10" s="12" t="n">
        <f aca="false">SUMPRODUCT(Flags!$G$2:$G$42,Flags!$N$2:$N$42)</f>
        <v>0</v>
      </c>
      <c r="E10" s="12" t="n">
        <f aca="false">SUMPRODUCT(Flags!$G$2:$G$42,Flags!$O$2:$O$42)</f>
        <v>0</v>
      </c>
      <c r="F10" s="12" t="n">
        <f aca="false">SUMPRODUCT(Flags!$G$2:$G$42,Flags!$P$2:$P$42)</f>
        <v>3</v>
      </c>
      <c r="G10" s="12" t="n">
        <f aca="false">SUMPRODUCT(Flags!$G$2:$G$42,Flags!$Q$2:$Q$42)</f>
        <v>0</v>
      </c>
      <c r="H10" s="12" t="n">
        <f aca="false">SUMPRODUCT(Flags!$G$2:$G$42,Flags!$R$2:$R$42)</f>
        <v>0</v>
      </c>
      <c r="I10" s="12" t="n">
        <f aca="false">SUMPRODUCT(Flags!$G$2:$G$42,Flags!$S$2:$S$42)</f>
        <v>2</v>
      </c>
      <c r="J10" s="13" t="n">
        <f aca="false">SUM(Flags!$G$2:$G$42)</f>
        <v>5</v>
      </c>
    </row>
    <row r="11" customFormat="false" ht="15" hidden="false" customHeight="false" outlineLevel="0" collapsed="false">
      <c r="A11" s="7" t="s">
        <v>58</v>
      </c>
      <c r="B11" s="12" t="n">
        <f aca="false">SUMPRODUCT(Flags!$H$2:$H$42,Flags!$L$2:$L$42)</f>
        <v>4</v>
      </c>
      <c r="C11" s="12" t="n">
        <f aca="false">SUMPRODUCT(Flags!$H$2:$H$42,Flags!$M$2:$M$42)</f>
        <v>2</v>
      </c>
      <c r="D11" s="12" t="n">
        <f aca="false">SUMPRODUCT(Flags!$H$2:$H$42,Flags!$N$2:$N$42)</f>
        <v>1</v>
      </c>
      <c r="E11" s="12" t="n">
        <f aca="false">SUMPRODUCT(Flags!$H$2:$H$42,Flags!$O$2:$O$42)</f>
        <v>0</v>
      </c>
      <c r="F11" s="12" t="n">
        <f aca="false">SUMPRODUCT(Flags!$H$2:$H$42,Flags!$P$2:$P$42)</f>
        <v>1</v>
      </c>
      <c r="G11" s="12" t="n">
        <f aca="false">SUMPRODUCT(Flags!$H$2:$H$42,Flags!$Q$2:$Q$42)</f>
        <v>0</v>
      </c>
      <c r="H11" s="12" t="n">
        <f aca="false">SUMPRODUCT(Flags!$H$2:$H$42,Flags!$R$2:$R$42)</f>
        <v>0</v>
      </c>
      <c r="I11" s="12" t="n">
        <f aca="false">SUMPRODUCT(Flags!$H$2:$H$42,Flags!$S$2:$S$42)</f>
        <v>0</v>
      </c>
      <c r="J11" s="13" t="n">
        <f aca="false">SUM(Flags!$H$2:$H$42)</f>
        <v>6</v>
      </c>
    </row>
    <row r="12" customFormat="false" ht="15" hidden="false" customHeight="false" outlineLevel="0" collapsed="false">
      <c r="A12" s="7" t="s">
        <v>59</v>
      </c>
      <c r="B12" s="12" t="n">
        <f aca="false">SUMPRODUCT(Flags!$I$2:$I$42,Flags!$L$2:$L$42)</f>
        <v>2</v>
      </c>
      <c r="C12" s="12" t="n">
        <f aca="false">SUMPRODUCT(Flags!$I$2:$I$42,Flags!$M$2:$M$42)</f>
        <v>1</v>
      </c>
      <c r="D12" s="12" t="n">
        <f aca="false">SUMPRODUCT(Flags!$I$2:$I$42,Flags!$N$2:$N$42)</f>
        <v>2</v>
      </c>
      <c r="E12" s="12" t="n">
        <f aca="false">SUMPRODUCT(Flags!$I$2:$I$42,Flags!$O$2:$O$42)</f>
        <v>1</v>
      </c>
      <c r="F12" s="12" t="n">
        <f aca="false">SUMPRODUCT(Flags!$I$2:$I$42,Flags!$P$2:$P$42)</f>
        <v>0</v>
      </c>
      <c r="G12" s="12" t="n">
        <f aca="false">SUMPRODUCT(Flags!$I$2:$I$42,Flags!$Q$2:$Q$42)</f>
        <v>0</v>
      </c>
      <c r="H12" s="12" t="n">
        <f aca="false">SUMPRODUCT(Flags!$I$2:$I$42,Flags!$R$2:$R$42)</f>
        <v>0</v>
      </c>
      <c r="I12" s="12" t="n">
        <f aca="false">SUMPRODUCT(Flags!$I$2:$I$42,Flags!$S$2:$S$42)</f>
        <v>0</v>
      </c>
      <c r="J12" s="13" t="n">
        <f aca="false">SUM(Flags!$I$2:$I$42)</f>
        <v>3</v>
      </c>
    </row>
    <row r="13" customFormat="false" ht="15" hidden="false" customHeight="false" outlineLevel="0" collapsed="false">
      <c r="A13" s="7" t="s">
        <v>60</v>
      </c>
      <c r="B13" s="12" t="n">
        <f aca="false">SUMPRODUCT(Flags!$J$2:$J$42,Flags!$L$2:$L$42)</f>
        <v>2</v>
      </c>
      <c r="C13" s="12" t="n">
        <f aca="false">SUMPRODUCT(Flags!$J$2:$J$42,Flags!$M$2:$M$42)</f>
        <v>3</v>
      </c>
      <c r="D13" s="12" t="n">
        <f aca="false">SUMPRODUCT(Flags!$J$2:$J$42,Flags!$N$2:$N$42)</f>
        <v>0</v>
      </c>
      <c r="E13" s="12" t="n">
        <f aca="false">SUMPRODUCT(Flags!$J$2:$J$42,Flags!$O$2:$O$42)</f>
        <v>0</v>
      </c>
      <c r="F13" s="12" t="n">
        <f aca="false">SUMPRODUCT(Flags!$J$2:$J$42,Flags!$P$2:$P$42)</f>
        <v>0</v>
      </c>
      <c r="G13" s="12" t="n">
        <f aca="false">SUMPRODUCT(Flags!$J$2:$J$42,Flags!$Q$2:$Q$42)</f>
        <v>1</v>
      </c>
      <c r="H13" s="12" t="n">
        <f aca="false">SUMPRODUCT(Flags!$J$2:$J$42,Flags!$R$2:$R$42)</f>
        <v>1</v>
      </c>
      <c r="I13" s="12" t="n">
        <f aca="false">SUMPRODUCT(Flags!$J$2:$J$42,Flags!$S$2:$S$42)</f>
        <v>1</v>
      </c>
      <c r="J13" s="13" t="n">
        <f aca="false">SUM(Flags!$J$2:$J$42)</f>
        <v>6</v>
      </c>
    </row>
    <row r="14" customFormat="false" ht="15" hidden="false" customHeight="false" outlineLevel="0" collapsed="false">
      <c r="A14" s="7" t="s">
        <v>61</v>
      </c>
      <c r="B14" s="12" t="n">
        <f aca="false">SUMPRODUCT(Flags!$K$2:$K$42,Flags!$L$2:$L$42)</f>
        <v>1</v>
      </c>
      <c r="C14" s="12" t="n">
        <f aca="false">SUMPRODUCT(Flags!$K$2:$K$42,Flags!$M$2:$M$42)</f>
        <v>0</v>
      </c>
      <c r="D14" s="12" t="n">
        <f aca="false">SUMPRODUCT(Flags!$K$2:$K$42,Flags!$N$2:$N$42)</f>
        <v>0</v>
      </c>
      <c r="E14" s="12" t="n">
        <f aca="false">SUMPRODUCT(Flags!$K$2:$K$42,Flags!$O$2:$O$42)</f>
        <v>0</v>
      </c>
      <c r="F14" s="12" t="n">
        <f aca="false">SUMPRODUCT(Flags!$K$2:$K$42,Flags!$P$2:$P$42)</f>
        <v>0</v>
      </c>
      <c r="G14" s="12" t="n">
        <f aca="false">SUMPRODUCT(Flags!$K$2:$K$42,Flags!$Q$2:$Q$42)</f>
        <v>1</v>
      </c>
      <c r="H14" s="12" t="n">
        <f aca="false">SUMPRODUCT(Flags!$K$2:$K$42,Flags!$R$2:$R$42)</f>
        <v>0</v>
      </c>
      <c r="I14" s="12" t="n">
        <f aca="false">SUMPRODUCT(Flags!$K$2:$K$42,Flags!$S$2:$S$42)</f>
        <v>0</v>
      </c>
      <c r="J14" s="13" t="n">
        <f aca="false">SUM(Flags!$K$2:$K$42)</f>
        <v>1</v>
      </c>
    </row>
    <row r="15" customFormat="false" ht="15" hidden="false" customHeight="false" outlineLevel="0" collapsed="false">
      <c r="A15" s="7" t="s">
        <v>19</v>
      </c>
      <c r="B15" s="13" t="n">
        <f aca="false">SUM(Flags!$L$2:$L$42)</f>
        <v>29</v>
      </c>
      <c r="C15" s="13" t="n">
        <f aca="false">SUM(Flags!$M$2:$M$42)</f>
        <v>11</v>
      </c>
      <c r="D15" s="13" t="n">
        <f aca="false">SUM(Flags!$N$2:$N$42)</f>
        <v>12</v>
      </c>
      <c r="E15" s="13" t="n">
        <f aca="false">SUM(Flags!$O$2:$O$42)</f>
        <v>3</v>
      </c>
      <c r="F15" s="13" t="n">
        <f aca="false">SUM(Flags!$P$2:$P$42)</f>
        <v>5</v>
      </c>
      <c r="G15" s="13" t="n">
        <f aca="false">SUM(Flags!$Q$2:$Q$42)</f>
        <v>2</v>
      </c>
      <c r="H15" s="13" t="n">
        <f aca="false">SUM(Flags!$R$2:$R$42)</f>
        <v>2</v>
      </c>
      <c r="I15" s="13" t="n">
        <f aca="false">SUM(Flags!$S$2:$S$42)</f>
        <v>3</v>
      </c>
    </row>
    <row r="17" customFormat="false" ht="15" hidden="false" customHeight="false" outlineLevel="0" collapsed="false">
      <c r="A17" s="7" t="s">
        <v>110</v>
      </c>
    </row>
    <row r="18" customFormat="false" ht="39.55" hidden="false" customHeight="false" outlineLevel="0" collapsed="false">
      <c r="A18" s="11" t="s">
        <v>111</v>
      </c>
      <c r="B18" s="11" t="s">
        <v>78</v>
      </c>
      <c r="C18" s="11" t="s">
        <v>79</v>
      </c>
      <c r="D18" s="11" t="s">
        <v>80</v>
      </c>
    </row>
    <row r="19" customFormat="false" ht="15" hidden="false" customHeight="false" outlineLevel="0" collapsed="false">
      <c r="A19" s="9" t="s">
        <v>31</v>
      </c>
      <c r="B19" s="12" t="n">
        <f aca="false">SUMPRODUCT(Flags!$T$2:$T$42,--(Cleaned_DB!$M$2:$M$42="Correlational (expression / association)"))</f>
        <v>15</v>
      </c>
      <c r="C19" s="12" t="n">
        <f aca="false">SUMPRODUCT(Flags!$T$2:$T$42,--(Cleaned_DB!$M$2:$M$42="Causal (loss/gain-of-function)"))</f>
        <v>6</v>
      </c>
      <c r="D19" s="12" t="n">
        <f aca="false">SUMPRODUCT(Flags!$T$2:$T$42,--(Cleaned_DB!$M$2:$M$42="Physiological / biomarker"))</f>
        <v>0</v>
      </c>
    </row>
    <row r="20" customFormat="false" ht="15" hidden="false" customHeight="false" outlineLevel="0" collapsed="false">
      <c r="A20" s="9" t="s">
        <v>32</v>
      </c>
      <c r="B20" s="12" t="n">
        <f aca="false">SUMPRODUCT(Flags!$U$2:$U$42,--(Cleaned_DB!$M$2:$M$42="Correlational (expression / association)"))</f>
        <v>4</v>
      </c>
      <c r="C20" s="12" t="n">
        <f aca="false">SUMPRODUCT(Flags!$U$2:$U$42,--(Cleaned_DB!$M$2:$M$42="Causal (loss/gain-of-function)"))</f>
        <v>2</v>
      </c>
      <c r="D20" s="12" t="n">
        <f aca="false">SUMPRODUCT(Flags!$U$2:$U$42,--(Cleaned_DB!$M$2:$M$42="Physiological / biomarker"))</f>
        <v>0</v>
      </c>
    </row>
    <row r="21" customFormat="false" ht="15" hidden="false" customHeight="false" outlineLevel="0" collapsed="false">
      <c r="A21" s="9" t="s">
        <v>33</v>
      </c>
      <c r="B21" s="12" t="n">
        <f aca="false">SUMPRODUCT(Flags!$V$2:$V$42,--(Cleaned_DB!$M$2:$M$42="Correlational (expression / association)"))</f>
        <v>3</v>
      </c>
      <c r="C21" s="12" t="n">
        <f aca="false">SUMPRODUCT(Flags!$V$2:$V$42,--(Cleaned_DB!$M$2:$M$42="Causal (loss/gain-of-function)"))</f>
        <v>2</v>
      </c>
      <c r="D21" s="12" t="n">
        <f aca="false">SUMPRODUCT(Flags!$V$2:$V$42,--(Cleaned_DB!$M$2:$M$42="Physiological / biomarker"))</f>
        <v>0</v>
      </c>
    </row>
    <row r="22" customFormat="false" ht="15" hidden="false" customHeight="false" outlineLevel="0" collapsed="false">
      <c r="A22" s="9" t="s">
        <v>34</v>
      </c>
      <c r="B22" s="12" t="n">
        <f aca="false">SUMPRODUCT(Flags!$W$2:$W$42,--(Cleaned_DB!$M$2:$M$42="Correlational (expression / association)"))</f>
        <v>2</v>
      </c>
      <c r="C22" s="12" t="n">
        <f aca="false">SUMPRODUCT(Flags!$W$2:$W$42,--(Cleaned_DB!$M$2:$M$42="Causal (loss/gain-of-function)"))</f>
        <v>1</v>
      </c>
      <c r="D22" s="12" t="n">
        <f aca="false">SUMPRODUCT(Flags!$W$2:$W$42,--(Cleaned_DB!$M$2:$M$42="Physiological / biomarker"))</f>
        <v>0</v>
      </c>
    </row>
    <row r="23" customFormat="false" ht="15" hidden="false" customHeight="false" outlineLevel="0" collapsed="false">
      <c r="A23" s="9" t="s">
        <v>35</v>
      </c>
      <c r="B23" s="12" t="n">
        <f aca="false">SUMPRODUCT(Flags!$X$2:$X$42,--(Cleaned_DB!$M$2:$M$42="Correlational (expression / association)"))</f>
        <v>1</v>
      </c>
      <c r="C23" s="12" t="n">
        <f aca="false">SUMPRODUCT(Flags!$X$2:$X$42,--(Cleaned_DB!$M$2:$M$42="Causal (loss/gain-of-function)"))</f>
        <v>2</v>
      </c>
      <c r="D23" s="12" t="n">
        <f aca="false">SUMPRODUCT(Flags!$X$2:$X$42,--(Cleaned_DB!$M$2:$M$42="Physiological / biomarker"))</f>
        <v>0</v>
      </c>
    </row>
    <row r="24" customFormat="false" ht="15" hidden="false" customHeight="false" outlineLevel="0" collapsed="false">
      <c r="A24" s="9" t="s">
        <v>36</v>
      </c>
      <c r="B24" s="12" t="n">
        <f aca="false">SUMPRODUCT(Flags!$Y$2:$Y$42,--(Cleaned_DB!$M$2:$M$42="Correlational (expression / association)"))</f>
        <v>1</v>
      </c>
      <c r="C24" s="12" t="n">
        <f aca="false">SUMPRODUCT(Flags!$Y$2:$Y$42,--(Cleaned_DB!$M$2:$M$42="Causal (loss/gain-of-function)"))</f>
        <v>0</v>
      </c>
      <c r="D24" s="12" t="n">
        <f aca="false">SUMPRODUCT(Flags!$Y$2:$Y$42,--(Cleaned_DB!$M$2:$M$42="Physiological / biomarker"))</f>
        <v>0</v>
      </c>
    </row>
    <row r="25" customFormat="false" ht="15" hidden="false" customHeight="false" outlineLevel="0" collapsed="false">
      <c r="A25" s="9" t="s">
        <v>37</v>
      </c>
      <c r="B25" s="12" t="n">
        <f aca="false">SUMPRODUCT(Flags!$Z$2:$Z$42,--(Cleaned_DB!$M$2:$M$42="Correlational (expression / association)"))</f>
        <v>1</v>
      </c>
      <c r="C25" s="12" t="n">
        <f aca="false">SUMPRODUCT(Flags!$Z$2:$Z$42,--(Cleaned_DB!$M$2:$M$42="Causal (loss/gain-of-function)"))</f>
        <v>0</v>
      </c>
      <c r="D25" s="12" t="n">
        <f aca="false">SUMPRODUCT(Flags!$Z$2:$Z$42,--(Cleaned_DB!$M$2:$M$42="Physiological / biomarker"))</f>
        <v>0</v>
      </c>
    </row>
    <row r="26" customFormat="false" ht="15" hidden="false" customHeight="false" outlineLevel="0" collapsed="false">
      <c r="A26" s="9" t="s">
        <v>38</v>
      </c>
      <c r="B26" s="12" t="n">
        <f aca="false">SUMPRODUCT(Flags!$AA$2:$AA$42,--(Cleaned_DB!$M$2:$M$42="Correlational (expression / association)"))</f>
        <v>0</v>
      </c>
      <c r="C26" s="12" t="n">
        <f aca="false">SUMPRODUCT(Flags!$AA$2:$AA$42,--(Cleaned_DB!$M$2:$M$42="Causal (loss/gain-of-function)"))</f>
        <v>2</v>
      </c>
      <c r="D26" s="12" t="n">
        <f aca="false">SUMPRODUCT(Flags!$AA$2:$AA$42,--(Cleaned_DB!$M$2:$M$42="Physiological / biomarker"))</f>
        <v>0</v>
      </c>
    </row>
    <row r="27" customFormat="false" ht="15" hidden="false" customHeight="false" outlineLevel="0" collapsed="false">
      <c r="A27" s="9" t="s">
        <v>39</v>
      </c>
      <c r="B27" s="12" t="n">
        <f aca="false">SUMPRODUCT(Flags!$AB$2:$AB$42,--(Cleaned_DB!$M$2:$M$42="Correlational (expression / association)"))</f>
        <v>5</v>
      </c>
      <c r="C27" s="12" t="n">
        <f aca="false">SUMPRODUCT(Flags!$AB$2:$AB$42,--(Cleaned_DB!$M$2:$M$42="Causal (loss/gain-of-function)"))</f>
        <v>0</v>
      </c>
      <c r="D27" s="12" t="n">
        <f aca="false">SUMPRODUCT(Flags!$AB$2:$AB$42,--(Cleaned_DB!$M$2:$M$42="Physiological / biomarker"))</f>
        <v>0</v>
      </c>
    </row>
    <row r="28" customFormat="false" ht="15" hidden="false" customHeight="false" outlineLevel="0" collapsed="false">
      <c r="A28" s="9" t="s">
        <v>40</v>
      </c>
      <c r="B28" s="12" t="n">
        <f aca="false">SUMPRODUCT(Flags!$AC$2:$AC$42,--(Cleaned_DB!$M$2:$M$42="Correlational (expression / association)"))</f>
        <v>1</v>
      </c>
      <c r="C28" s="12" t="n">
        <f aca="false">SUMPRODUCT(Flags!$AC$2:$AC$42,--(Cleaned_DB!$M$2:$M$42="Causal (loss/gain-of-function)"))</f>
        <v>0</v>
      </c>
      <c r="D28" s="12" t="n">
        <f aca="false">SUMPRODUCT(Flags!$AC$2:$AC$42,--(Cleaned_DB!$M$2:$M$42="Physiological / biomarker"))</f>
        <v>0</v>
      </c>
    </row>
    <row r="29" customFormat="false" ht="15" hidden="false" customHeight="false" outlineLevel="0" collapsed="false">
      <c r="A29" s="9" t="s">
        <v>41</v>
      </c>
      <c r="B29" s="12" t="n">
        <f aca="false">SUMPRODUCT(Flags!$AD$2:$AD$42,--(Cleaned_DB!$M$2:$M$42="Correlational (expression / association)"))</f>
        <v>1</v>
      </c>
      <c r="C29" s="12" t="n">
        <f aca="false">SUMPRODUCT(Flags!$AD$2:$AD$42,--(Cleaned_DB!$M$2:$M$42="Causal (loss/gain-of-function)"))</f>
        <v>1</v>
      </c>
      <c r="D29" s="12" t="n">
        <f aca="false">SUMPRODUCT(Flags!$AD$2:$AD$42,--(Cleaned_DB!$M$2:$M$42="Physiological / biomarker"))</f>
        <v>0</v>
      </c>
    </row>
    <row r="30" customFormat="false" ht="15" hidden="false" customHeight="false" outlineLevel="0" collapsed="false">
      <c r="A30" s="9" t="s">
        <v>42</v>
      </c>
      <c r="B30" s="12" t="n">
        <f aca="false">SUMPRODUCT(Flags!$AE$2:$AE$42,--(Cleaned_DB!$M$2:$M$42="Correlational (expression / association)"))</f>
        <v>1</v>
      </c>
      <c r="C30" s="12" t="n">
        <f aca="false">SUMPRODUCT(Flags!$AE$2:$AE$42,--(Cleaned_DB!$M$2:$M$42="Causal (loss/gain-of-function)"))</f>
        <v>0</v>
      </c>
      <c r="D30" s="12" t="n">
        <f aca="false">SUMPRODUCT(Flags!$AE$2:$AE$42,--(Cleaned_DB!$M$2:$M$42="Physiological / biomarker"))</f>
        <v>0</v>
      </c>
    </row>
    <row r="31" customFormat="false" ht="15" hidden="false" customHeight="false" outlineLevel="0" collapsed="false">
      <c r="A31" s="9" t="s">
        <v>43</v>
      </c>
      <c r="B31" s="12" t="n">
        <f aca="false">SUMPRODUCT(Flags!$AF$2:$AF$42,--(Cleaned_DB!$M$2:$M$42="Correlational (expression / association)"))</f>
        <v>0</v>
      </c>
      <c r="C31" s="12" t="n">
        <f aca="false">SUMPRODUCT(Flags!$AF$2:$AF$42,--(Cleaned_DB!$M$2:$M$42="Causal (loss/gain-of-function)"))</f>
        <v>0</v>
      </c>
      <c r="D31" s="12" t="n">
        <f aca="false">SUMPRODUCT(Flags!$AF$2:$AF$42,--(Cleaned_DB!$M$2:$M$42="Physiological / biomarker"))</f>
        <v>5</v>
      </c>
    </row>
  </sheetData>
  <conditionalFormatting sqref="B5:I14">
    <cfRule type="colorScale" priority="2">
      <colorScale>
        <cfvo type="num" val="0"/>
        <cfvo type="max" val="0"/>
        <color rgb="FFFFFFFF"/>
        <color rgb="FF2E75B6"/>
      </colorScale>
    </cfRule>
  </conditionalFormatting>
  <conditionalFormatting sqref="B19:D31">
    <cfRule type="colorScale" priority="3">
      <colorScale>
        <cfvo type="num" val="0"/>
        <cfvo type="max" val="0"/>
        <color rgb="FFFFFFFF"/>
        <color rgb="FF2E75B6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8"/>
    <col collapsed="false" customWidth="true" hidden="false" outlineLevel="0" max="3" min="3" style="0" width="24"/>
    <col collapsed="false" customWidth="true" hidden="false" outlineLevel="0" max="4" min="4" style="0" width="20"/>
    <col collapsed="false" customWidth="true" hidden="false" outlineLevel="0" max="5" min="5" style="0" width="13"/>
    <col collapsed="false" customWidth="true" hidden="false" outlineLevel="0" max="6" min="6" style="0" width="20"/>
    <col collapsed="false" customWidth="true" hidden="false" outlineLevel="0" max="8" min="7" style="0" width="24"/>
    <col collapsed="false" customWidth="true" hidden="false" outlineLevel="0" max="10" min="9" style="0" width="22"/>
    <col collapsed="false" customWidth="true" hidden="false" outlineLevel="0" max="11" min="11" style="0" width="30"/>
    <col collapsed="false" customWidth="true" hidden="false" outlineLevel="0" max="13" min="12" style="0" width="22"/>
    <col collapsed="false" customWidth="true" hidden="false" outlineLevel="0" max="14" min="14" style="0" width="11"/>
    <col collapsed="false" customWidth="true" hidden="false" outlineLevel="0" max="15" min="15" style="0" width="60"/>
    <col collapsed="false" customWidth="true" hidden="false" outlineLevel="0" max="16" min="16" style="0" width="55"/>
  </cols>
  <sheetData>
    <row r="1" customFormat="false" ht="52.2" hidden="false" customHeight="false" outlineLevel="0" collapsed="false">
      <c r="A1" s="11" t="s">
        <v>112</v>
      </c>
      <c r="B1" s="11" t="s">
        <v>113</v>
      </c>
      <c r="C1" s="11" t="s">
        <v>84</v>
      </c>
      <c r="D1" s="11" t="s">
        <v>114</v>
      </c>
      <c r="E1" s="11" t="s">
        <v>18</v>
      </c>
      <c r="F1" s="11" t="s">
        <v>115</v>
      </c>
      <c r="G1" s="11" t="s">
        <v>116</v>
      </c>
      <c r="H1" s="11" t="s">
        <v>117</v>
      </c>
      <c r="I1" s="11" t="s">
        <v>118</v>
      </c>
      <c r="J1" s="11" t="s">
        <v>119</v>
      </c>
      <c r="K1" s="11" t="s">
        <v>120</v>
      </c>
      <c r="L1" s="11" t="s">
        <v>121</v>
      </c>
      <c r="M1" s="11" t="s">
        <v>122</v>
      </c>
      <c r="N1" s="11" t="s">
        <v>123</v>
      </c>
      <c r="O1" s="11" t="s">
        <v>124</v>
      </c>
      <c r="P1" s="11" t="s">
        <v>125</v>
      </c>
    </row>
    <row r="2" customFormat="false" ht="90.25" hidden="false" customHeight="false" outlineLevel="0" collapsed="false">
      <c r="A2" s="14" t="n">
        <v>1</v>
      </c>
      <c r="B2" s="14" t="s">
        <v>126</v>
      </c>
      <c r="C2" s="14" t="s">
        <v>93</v>
      </c>
      <c r="D2" s="14" t="s">
        <v>127</v>
      </c>
      <c r="E2" s="14" t="s">
        <v>23</v>
      </c>
      <c r="F2" s="14" t="s">
        <v>28</v>
      </c>
      <c r="G2" s="14" t="s">
        <v>53</v>
      </c>
      <c r="H2" s="14" t="s">
        <v>128</v>
      </c>
      <c r="I2" s="14" t="s">
        <v>39</v>
      </c>
      <c r="J2" s="14" t="s">
        <v>46</v>
      </c>
      <c r="K2" s="14" t="s">
        <v>64</v>
      </c>
      <c r="L2" s="14" t="s">
        <v>72</v>
      </c>
      <c r="M2" s="14" t="s">
        <v>78</v>
      </c>
      <c r="N2" s="14" t="s">
        <v>83</v>
      </c>
      <c r="O2" s="14" t="s">
        <v>129</v>
      </c>
      <c r="P2" s="14" t="s">
        <v>130</v>
      </c>
    </row>
    <row r="3" customFormat="false" ht="64.9" hidden="false" customHeight="false" outlineLevel="0" collapsed="false">
      <c r="A3" s="14" t="n">
        <v>2</v>
      </c>
      <c r="B3" s="14" t="s">
        <v>131</v>
      </c>
      <c r="C3" s="14" t="s">
        <v>88</v>
      </c>
      <c r="D3" s="14" t="s">
        <v>132</v>
      </c>
      <c r="E3" s="14" t="s">
        <v>21</v>
      </c>
      <c r="F3" s="14" t="s">
        <v>27</v>
      </c>
      <c r="G3" s="14" t="s">
        <v>54</v>
      </c>
      <c r="H3" s="14" t="s">
        <v>133</v>
      </c>
      <c r="I3" s="14" t="s">
        <v>36</v>
      </c>
      <c r="J3" s="14" t="s">
        <v>45</v>
      </c>
      <c r="K3" s="14" t="s">
        <v>63</v>
      </c>
      <c r="L3" s="14" t="s">
        <v>72</v>
      </c>
      <c r="M3" s="14" t="s">
        <v>78</v>
      </c>
      <c r="N3" s="14" t="s">
        <v>83</v>
      </c>
      <c r="O3" s="14" t="s">
        <v>134</v>
      </c>
      <c r="P3" s="14" t="s">
        <v>135</v>
      </c>
    </row>
    <row r="4" customFormat="false" ht="77.6" hidden="false" customHeight="false" outlineLevel="0" collapsed="false">
      <c r="A4" s="14" t="n">
        <v>3</v>
      </c>
      <c r="B4" s="14" t="s">
        <v>136</v>
      </c>
      <c r="C4" s="14" t="s">
        <v>94</v>
      </c>
      <c r="D4" s="14" t="s">
        <v>137</v>
      </c>
      <c r="E4" s="14" t="s">
        <v>22</v>
      </c>
      <c r="F4" s="14" t="s">
        <v>26</v>
      </c>
      <c r="G4" s="14" t="s">
        <v>59</v>
      </c>
      <c r="H4" s="14" t="s">
        <v>138</v>
      </c>
      <c r="I4" s="14" t="s">
        <v>40</v>
      </c>
      <c r="J4" s="14" t="s">
        <v>49</v>
      </c>
      <c r="K4" s="14" t="s">
        <v>64</v>
      </c>
      <c r="L4" s="14" t="s">
        <v>74</v>
      </c>
      <c r="M4" s="14" t="s">
        <v>78</v>
      </c>
      <c r="N4" s="14" t="s">
        <v>82</v>
      </c>
      <c r="O4" s="14" t="s">
        <v>139</v>
      </c>
      <c r="P4" s="14" t="s">
        <v>140</v>
      </c>
    </row>
    <row r="5" customFormat="false" ht="128.35" hidden="false" customHeight="false" outlineLevel="0" collapsed="false">
      <c r="A5" s="14" t="n">
        <v>4</v>
      </c>
      <c r="B5" s="14" t="s">
        <v>141</v>
      </c>
      <c r="C5" s="14" t="s">
        <v>85</v>
      </c>
      <c r="D5" s="14" t="s">
        <v>142</v>
      </c>
      <c r="E5" s="14" t="s">
        <v>21</v>
      </c>
      <c r="F5" s="14" t="s">
        <v>26</v>
      </c>
      <c r="G5" s="14" t="s">
        <v>59</v>
      </c>
      <c r="H5" s="14" t="s">
        <v>143</v>
      </c>
      <c r="I5" s="14" t="s">
        <v>31</v>
      </c>
      <c r="J5" s="14" t="s">
        <v>45</v>
      </c>
      <c r="K5" s="14" t="s">
        <v>144</v>
      </c>
      <c r="L5" s="14" t="s">
        <v>73</v>
      </c>
      <c r="M5" s="14" t="s">
        <v>79</v>
      </c>
      <c r="N5" s="14" t="s">
        <v>83</v>
      </c>
      <c r="O5" s="14" t="s">
        <v>145</v>
      </c>
      <c r="P5" s="14" t="s">
        <v>146</v>
      </c>
    </row>
    <row r="6" customFormat="false" ht="102.95" hidden="false" customHeight="false" outlineLevel="0" collapsed="false">
      <c r="A6" s="14" t="n">
        <v>5</v>
      </c>
      <c r="B6" s="14" t="s">
        <v>147</v>
      </c>
      <c r="C6" s="14" t="s">
        <v>95</v>
      </c>
      <c r="D6" s="14" t="s">
        <v>148</v>
      </c>
      <c r="E6" s="14" t="s">
        <v>22</v>
      </c>
      <c r="F6" s="14" t="s">
        <v>29</v>
      </c>
      <c r="G6" s="14" t="s">
        <v>56</v>
      </c>
      <c r="H6" s="14" t="s">
        <v>31</v>
      </c>
      <c r="I6" s="14" t="s">
        <v>31</v>
      </c>
      <c r="J6" s="14" t="s">
        <v>45</v>
      </c>
      <c r="K6" s="14" t="s">
        <v>149</v>
      </c>
      <c r="L6" s="14" t="s">
        <v>72</v>
      </c>
      <c r="M6" s="14" t="s">
        <v>78</v>
      </c>
      <c r="N6" s="14" t="s">
        <v>83</v>
      </c>
      <c r="O6" s="14" t="s">
        <v>150</v>
      </c>
      <c r="P6" s="14" t="s">
        <v>151</v>
      </c>
    </row>
    <row r="7" customFormat="false" ht="64.9" hidden="false" customHeight="false" outlineLevel="0" collapsed="false">
      <c r="A7" s="14" t="n">
        <v>6</v>
      </c>
      <c r="B7" s="14" t="s">
        <v>152</v>
      </c>
      <c r="C7" s="14" t="s">
        <v>86</v>
      </c>
      <c r="D7" s="14" t="s">
        <v>153</v>
      </c>
      <c r="E7" s="14" t="s">
        <v>21</v>
      </c>
      <c r="F7" s="14" t="s">
        <v>27</v>
      </c>
      <c r="G7" s="14" t="s">
        <v>56</v>
      </c>
      <c r="H7" s="14" t="s">
        <v>31</v>
      </c>
      <c r="I7" s="14" t="s">
        <v>31</v>
      </c>
      <c r="J7" s="14" t="s">
        <v>46</v>
      </c>
      <c r="K7" s="14" t="s">
        <v>154</v>
      </c>
      <c r="L7" s="14" t="s">
        <v>72</v>
      </c>
      <c r="M7" s="14" t="s">
        <v>78</v>
      </c>
      <c r="N7" s="14" t="s">
        <v>83</v>
      </c>
      <c r="O7" s="14" t="s">
        <v>155</v>
      </c>
      <c r="P7" s="14" t="s">
        <v>156</v>
      </c>
    </row>
    <row r="8" customFormat="false" ht="52.2" hidden="false" customHeight="false" outlineLevel="0" collapsed="false">
      <c r="A8" s="14" t="n">
        <v>7</v>
      </c>
      <c r="B8" s="14" t="s">
        <v>157</v>
      </c>
      <c r="C8" s="14" t="s">
        <v>96</v>
      </c>
      <c r="D8" s="14" t="s">
        <v>158</v>
      </c>
      <c r="E8" s="14" t="s">
        <v>21</v>
      </c>
      <c r="F8" s="14" t="s">
        <v>27</v>
      </c>
      <c r="G8" s="14" t="s">
        <v>54</v>
      </c>
      <c r="H8" s="14" t="s">
        <v>159</v>
      </c>
      <c r="I8" s="14" t="s">
        <v>160</v>
      </c>
      <c r="J8" s="14" t="s">
        <v>45</v>
      </c>
      <c r="K8" s="14" t="s">
        <v>161</v>
      </c>
      <c r="L8" s="14" t="s">
        <v>72</v>
      </c>
      <c r="M8" s="14" t="s">
        <v>78</v>
      </c>
      <c r="N8" s="14" t="s">
        <v>83</v>
      </c>
      <c r="O8" s="14" t="s">
        <v>162</v>
      </c>
      <c r="P8" s="14" t="s">
        <v>163</v>
      </c>
    </row>
    <row r="9" customFormat="false" ht="77.6" hidden="false" customHeight="false" outlineLevel="0" collapsed="false">
      <c r="A9" s="14" t="n">
        <v>8</v>
      </c>
      <c r="B9" s="14" t="s">
        <v>164</v>
      </c>
      <c r="C9" s="14" t="s">
        <v>89</v>
      </c>
      <c r="D9" s="14" t="s">
        <v>165</v>
      </c>
      <c r="E9" s="14" t="s">
        <v>22</v>
      </c>
      <c r="F9" s="14" t="s">
        <v>29</v>
      </c>
      <c r="G9" s="14" t="s">
        <v>54</v>
      </c>
      <c r="H9" s="14" t="s">
        <v>31</v>
      </c>
      <c r="I9" s="14" t="s">
        <v>31</v>
      </c>
      <c r="J9" s="14" t="s">
        <v>45</v>
      </c>
      <c r="K9" s="14" t="s">
        <v>63</v>
      </c>
      <c r="L9" s="14" t="s">
        <v>75</v>
      </c>
      <c r="M9" s="14" t="s">
        <v>78</v>
      </c>
      <c r="N9" s="14" t="s">
        <v>83</v>
      </c>
      <c r="O9" s="14" t="s">
        <v>166</v>
      </c>
      <c r="P9" s="14" t="s">
        <v>167</v>
      </c>
    </row>
    <row r="10" customFormat="false" ht="39.55" hidden="false" customHeight="false" outlineLevel="0" collapsed="false">
      <c r="A10" s="14" t="n">
        <v>9</v>
      </c>
      <c r="B10" s="14" t="s">
        <v>168</v>
      </c>
      <c r="C10" s="14" t="s">
        <v>97</v>
      </c>
      <c r="D10" s="14" t="s">
        <v>169</v>
      </c>
      <c r="E10" s="14" t="s">
        <v>22</v>
      </c>
      <c r="F10" s="14" t="s">
        <v>26</v>
      </c>
      <c r="G10" s="14" t="s">
        <v>58</v>
      </c>
      <c r="H10" s="14" t="s">
        <v>170</v>
      </c>
      <c r="I10" s="14" t="s">
        <v>32</v>
      </c>
      <c r="J10" s="14" t="s">
        <v>45</v>
      </c>
      <c r="K10" s="14" t="s">
        <v>63</v>
      </c>
      <c r="L10" s="14" t="s">
        <v>72</v>
      </c>
      <c r="M10" s="14" t="s">
        <v>78</v>
      </c>
      <c r="N10" s="14" t="s">
        <v>83</v>
      </c>
      <c r="O10" s="14" t="s">
        <v>171</v>
      </c>
      <c r="P10" s="14" t="s">
        <v>172</v>
      </c>
    </row>
    <row r="11" customFormat="false" ht="52.2" hidden="false" customHeight="false" outlineLevel="0" collapsed="false">
      <c r="A11" s="14" t="n">
        <v>10</v>
      </c>
      <c r="B11" s="14" t="s">
        <v>173</v>
      </c>
      <c r="C11" s="14" t="s">
        <v>85</v>
      </c>
      <c r="D11" s="14" t="s">
        <v>142</v>
      </c>
      <c r="E11" s="14" t="s">
        <v>21</v>
      </c>
      <c r="F11" s="14" t="s">
        <v>26</v>
      </c>
      <c r="G11" s="14" t="s">
        <v>58</v>
      </c>
      <c r="H11" s="14" t="s">
        <v>143</v>
      </c>
      <c r="I11" s="14" t="s">
        <v>31</v>
      </c>
      <c r="J11" s="14" t="s">
        <v>45</v>
      </c>
      <c r="K11" s="14" t="s">
        <v>63</v>
      </c>
      <c r="L11" s="14" t="s">
        <v>73</v>
      </c>
      <c r="M11" s="14" t="s">
        <v>79</v>
      </c>
      <c r="N11" s="14" t="s">
        <v>83</v>
      </c>
      <c r="O11" s="14" t="s">
        <v>174</v>
      </c>
      <c r="P11" s="14" t="s">
        <v>175</v>
      </c>
    </row>
    <row r="12" customFormat="false" ht="64.9" hidden="false" customHeight="false" outlineLevel="0" collapsed="false">
      <c r="A12" s="14" t="n">
        <v>11</v>
      </c>
      <c r="B12" s="14" t="s">
        <v>176</v>
      </c>
      <c r="C12" s="14" t="s">
        <v>90</v>
      </c>
      <c r="D12" s="14" t="s">
        <v>177</v>
      </c>
      <c r="E12" s="14" t="s">
        <v>21</v>
      </c>
      <c r="F12" s="14" t="s">
        <v>27</v>
      </c>
      <c r="G12" s="14" t="s">
        <v>56</v>
      </c>
      <c r="H12" s="14" t="s">
        <v>178</v>
      </c>
      <c r="I12" s="14" t="s">
        <v>179</v>
      </c>
      <c r="J12" s="14" t="s">
        <v>46</v>
      </c>
      <c r="K12" s="14" t="s">
        <v>180</v>
      </c>
      <c r="L12" s="14" t="s">
        <v>72</v>
      </c>
      <c r="M12" s="14" t="s">
        <v>78</v>
      </c>
      <c r="N12" s="14" t="s">
        <v>83</v>
      </c>
      <c r="O12" s="14" t="s">
        <v>181</v>
      </c>
      <c r="P12" s="14" t="s">
        <v>182</v>
      </c>
    </row>
    <row r="13" customFormat="false" ht="52.2" hidden="false" customHeight="false" outlineLevel="0" collapsed="false">
      <c r="A13" s="14" t="n">
        <v>12</v>
      </c>
      <c r="B13" s="14" t="s">
        <v>183</v>
      </c>
      <c r="C13" s="14" t="s">
        <v>98</v>
      </c>
      <c r="D13" s="14" t="s">
        <v>184</v>
      </c>
      <c r="E13" s="14" t="s">
        <v>23</v>
      </c>
      <c r="F13" s="14" t="s">
        <v>28</v>
      </c>
      <c r="G13" s="14" t="s">
        <v>56</v>
      </c>
      <c r="H13" s="14" t="s">
        <v>185</v>
      </c>
      <c r="I13" s="14" t="s">
        <v>31</v>
      </c>
      <c r="J13" s="14" t="s">
        <v>45</v>
      </c>
      <c r="K13" s="14" t="s">
        <v>63</v>
      </c>
      <c r="L13" s="14" t="s">
        <v>76</v>
      </c>
      <c r="M13" s="14" t="s">
        <v>78</v>
      </c>
      <c r="N13" s="14" t="s">
        <v>83</v>
      </c>
      <c r="O13" s="14" t="s">
        <v>186</v>
      </c>
      <c r="P13" s="14" t="s">
        <v>187</v>
      </c>
    </row>
    <row r="14" customFormat="false" ht="64.9" hidden="false" customHeight="false" outlineLevel="0" collapsed="false">
      <c r="A14" s="14" t="n">
        <v>13</v>
      </c>
      <c r="B14" s="14" t="s">
        <v>188</v>
      </c>
      <c r="C14" s="14" t="s">
        <v>90</v>
      </c>
      <c r="D14" s="14" t="s">
        <v>177</v>
      </c>
      <c r="E14" s="14" t="s">
        <v>21</v>
      </c>
      <c r="F14" s="14" t="s">
        <v>27</v>
      </c>
      <c r="G14" s="14" t="s">
        <v>55</v>
      </c>
      <c r="H14" s="14" t="s">
        <v>189</v>
      </c>
      <c r="I14" s="14" t="s">
        <v>33</v>
      </c>
      <c r="J14" s="14" t="s">
        <v>45</v>
      </c>
      <c r="K14" s="14" t="s">
        <v>154</v>
      </c>
      <c r="L14" s="14" t="s">
        <v>73</v>
      </c>
      <c r="M14" s="14" t="s">
        <v>79</v>
      </c>
      <c r="N14" s="14" t="s">
        <v>83</v>
      </c>
      <c r="O14" s="14" t="s">
        <v>190</v>
      </c>
      <c r="P14" s="14" t="s">
        <v>191</v>
      </c>
    </row>
    <row r="15" customFormat="false" ht="39.55" hidden="false" customHeight="false" outlineLevel="0" collapsed="false">
      <c r="A15" s="14" t="n">
        <v>14</v>
      </c>
      <c r="B15" s="14" t="s">
        <v>192</v>
      </c>
      <c r="C15" s="14" t="s">
        <v>99</v>
      </c>
      <c r="D15" s="14" t="s">
        <v>184</v>
      </c>
      <c r="E15" s="14" t="s">
        <v>23</v>
      </c>
      <c r="F15" s="14" t="s">
        <v>28</v>
      </c>
      <c r="G15" s="14" t="s">
        <v>57</v>
      </c>
      <c r="H15" s="14" t="s">
        <v>31</v>
      </c>
      <c r="I15" s="14" t="s">
        <v>31</v>
      </c>
      <c r="J15" s="14" t="s">
        <v>45</v>
      </c>
      <c r="K15" s="14" t="s">
        <v>193</v>
      </c>
      <c r="L15" s="14" t="s">
        <v>73</v>
      </c>
      <c r="M15" s="14" t="s">
        <v>79</v>
      </c>
      <c r="N15" s="14" t="s">
        <v>83</v>
      </c>
      <c r="O15" s="14" t="s">
        <v>194</v>
      </c>
      <c r="P15" s="14" t="s">
        <v>195</v>
      </c>
    </row>
    <row r="16" customFormat="false" ht="64.9" hidden="false" customHeight="false" outlineLevel="0" collapsed="false">
      <c r="A16" s="14" t="n">
        <v>15</v>
      </c>
      <c r="B16" s="14" t="s">
        <v>196</v>
      </c>
      <c r="C16" s="14" t="s">
        <v>100</v>
      </c>
      <c r="D16" s="14" t="s">
        <v>197</v>
      </c>
      <c r="E16" s="14" t="s">
        <v>23</v>
      </c>
      <c r="F16" s="14" t="s">
        <v>28</v>
      </c>
      <c r="G16" s="14" t="s">
        <v>55</v>
      </c>
      <c r="H16" s="14" t="s">
        <v>198</v>
      </c>
      <c r="I16" s="14" t="s">
        <v>33</v>
      </c>
      <c r="J16" s="14" t="s">
        <v>47</v>
      </c>
      <c r="K16" s="14" t="s">
        <v>63</v>
      </c>
      <c r="L16" s="14" t="s">
        <v>72</v>
      </c>
      <c r="M16" s="14" t="s">
        <v>78</v>
      </c>
      <c r="N16" s="14" t="s">
        <v>83</v>
      </c>
      <c r="O16" s="14" t="s">
        <v>199</v>
      </c>
      <c r="P16" s="14" t="s">
        <v>200</v>
      </c>
    </row>
    <row r="17" customFormat="false" ht="64.9" hidden="false" customHeight="false" outlineLevel="0" collapsed="false">
      <c r="A17" s="14" t="n">
        <v>16</v>
      </c>
      <c r="B17" s="14" t="s">
        <v>201</v>
      </c>
      <c r="C17" s="14" t="s">
        <v>86</v>
      </c>
      <c r="D17" s="14" t="s">
        <v>153</v>
      </c>
      <c r="E17" s="14" t="s">
        <v>21</v>
      </c>
      <c r="F17" s="14" t="s">
        <v>27</v>
      </c>
      <c r="G17" s="14" t="s">
        <v>55</v>
      </c>
      <c r="H17" s="14" t="s">
        <v>202</v>
      </c>
      <c r="I17" s="14" t="s">
        <v>31</v>
      </c>
      <c r="J17" s="14" t="s">
        <v>47</v>
      </c>
      <c r="K17" s="14" t="s">
        <v>154</v>
      </c>
      <c r="L17" s="14" t="s">
        <v>72</v>
      </c>
      <c r="M17" s="14" t="s">
        <v>79</v>
      </c>
      <c r="N17" s="14" t="s">
        <v>83</v>
      </c>
      <c r="O17" s="14" t="s">
        <v>203</v>
      </c>
      <c r="P17" s="14" t="s">
        <v>204</v>
      </c>
    </row>
    <row r="18" customFormat="false" ht="77.6" hidden="false" customHeight="false" outlineLevel="0" collapsed="false">
      <c r="A18" s="14" t="n">
        <v>17</v>
      </c>
      <c r="B18" s="14" t="s">
        <v>205</v>
      </c>
      <c r="C18" s="14" t="s">
        <v>85</v>
      </c>
      <c r="D18" s="14" t="s">
        <v>142</v>
      </c>
      <c r="E18" s="14" t="s">
        <v>21</v>
      </c>
      <c r="F18" s="14" t="s">
        <v>26</v>
      </c>
      <c r="G18" s="14" t="s">
        <v>206</v>
      </c>
      <c r="H18" s="14" t="s">
        <v>159</v>
      </c>
      <c r="I18" s="14" t="s">
        <v>160</v>
      </c>
      <c r="J18" s="14" t="s">
        <v>47</v>
      </c>
      <c r="K18" s="14" t="s">
        <v>207</v>
      </c>
      <c r="L18" s="14" t="s">
        <v>72</v>
      </c>
      <c r="M18" s="14" t="s">
        <v>78</v>
      </c>
      <c r="N18" s="14" t="s">
        <v>83</v>
      </c>
      <c r="O18" s="14" t="s">
        <v>208</v>
      </c>
      <c r="P18" s="14" t="s">
        <v>209</v>
      </c>
    </row>
    <row r="19" customFormat="false" ht="64.9" hidden="false" customHeight="false" outlineLevel="0" collapsed="false">
      <c r="A19" s="14" t="n">
        <v>18</v>
      </c>
      <c r="B19" s="14" t="s">
        <v>210</v>
      </c>
      <c r="C19" s="14" t="s">
        <v>91</v>
      </c>
      <c r="D19" s="14" t="s">
        <v>211</v>
      </c>
      <c r="E19" s="14" t="s">
        <v>21</v>
      </c>
      <c r="F19" s="14" t="s">
        <v>27</v>
      </c>
      <c r="G19" s="14" t="s">
        <v>55</v>
      </c>
      <c r="H19" s="14" t="s">
        <v>212</v>
      </c>
      <c r="I19" s="14" t="s">
        <v>179</v>
      </c>
      <c r="J19" s="14" t="s">
        <v>47</v>
      </c>
      <c r="K19" s="14" t="s">
        <v>213</v>
      </c>
      <c r="L19" s="14" t="s">
        <v>72</v>
      </c>
      <c r="M19" s="14" t="s">
        <v>78</v>
      </c>
      <c r="N19" s="14" t="s">
        <v>83</v>
      </c>
      <c r="O19" s="14" t="s">
        <v>214</v>
      </c>
      <c r="P19" s="14" t="s">
        <v>215</v>
      </c>
    </row>
    <row r="20" customFormat="false" ht="64.9" hidden="false" customHeight="false" outlineLevel="0" collapsed="false">
      <c r="A20" s="14" t="n">
        <v>19</v>
      </c>
      <c r="B20" s="14" t="s">
        <v>216</v>
      </c>
      <c r="C20" s="14" t="s">
        <v>91</v>
      </c>
      <c r="D20" s="14" t="s">
        <v>211</v>
      </c>
      <c r="E20" s="14" t="s">
        <v>21</v>
      </c>
      <c r="F20" s="14" t="s">
        <v>27</v>
      </c>
      <c r="G20" s="14" t="s">
        <v>217</v>
      </c>
      <c r="H20" s="14" t="s">
        <v>212</v>
      </c>
      <c r="I20" s="14" t="s">
        <v>179</v>
      </c>
      <c r="J20" s="14" t="s">
        <v>46</v>
      </c>
      <c r="K20" s="14" t="s">
        <v>213</v>
      </c>
      <c r="L20" s="14" t="s">
        <v>72</v>
      </c>
      <c r="M20" s="14" t="s">
        <v>78</v>
      </c>
      <c r="N20" s="14" t="s">
        <v>83</v>
      </c>
      <c r="O20" s="14" t="s">
        <v>218</v>
      </c>
      <c r="P20" s="14" t="s">
        <v>219</v>
      </c>
    </row>
    <row r="21" customFormat="false" ht="52.2" hidden="false" customHeight="false" outlineLevel="0" collapsed="false">
      <c r="A21" s="14" t="n">
        <v>20</v>
      </c>
      <c r="B21" s="14" t="s">
        <v>220</v>
      </c>
      <c r="C21" s="14" t="s">
        <v>85</v>
      </c>
      <c r="D21" s="14" t="s">
        <v>142</v>
      </c>
      <c r="E21" s="14" t="s">
        <v>21</v>
      </c>
      <c r="F21" s="14" t="s">
        <v>26</v>
      </c>
      <c r="G21" s="14" t="s">
        <v>57</v>
      </c>
      <c r="H21" s="14" t="s">
        <v>221</v>
      </c>
      <c r="I21" s="14" t="s">
        <v>222</v>
      </c>
      <c r="J21" s="14" t="s">
        <v>45</v>
      </c>
      <c r="K21" s="14" t="s">
        <v>193</v>
      </c>
      <c r="L21" s="14" t="s">
        <v>48</v>
      </c>
      <c r="M21" s="14" t="s">
        <v>78</v>
      </c>
      <c r="N21" s="14" t="s">
        <v>83</v>
      </c>
      <c r="O21" s="14" t="s">
        <v>223</v>
      </c>
      <c r="P21" s="14" t="s">
        <v>224</v>
      </c>
    </row>
    <row r="22" customFormat="false" ht="64.9" hidden="false" customHeight="false" outlineLevel="0" collapsed="false">
      <c r="A22" s="14" t="n">
        <v>21</v>
      </c>
      <c r="B22" s="14" t="s">
        <v>225</v>
      </c>
      <c r="C22" s="14" t="s">
        <v>101</v>
      </c>
      <c r="D22" s="14" t="s">
        <v>226</v>
      </c>
      <c r="E22" s="14" t="s">
        <v>23</v>
      </c>
      <c r="F22" s="14" t="s">
        <v>28</v>
      </c>
      <c r="G22" s="14" t="s">
        <v>227</v>
      </c>
      <c r="H22" s="14" t="s">
        <v>143</v>
      </c>
      <c r="I22" s="14" t="s">
        <v>31</v>
      </c>
      <c r="J22" s="14" t="s">
        <v>47</v>
      </c>
      <c r="K22" s="14" t="s">
        <v>63</v>
      </c>
      <c r="L22" s="14" t="s">
        <v>72</v>
      </c>
      <c r="M22" s="14" t="s">
        <v>78</v>
      </c>
      <c r="N22" s="14" t="s">
        <v>83</v>
      </c>
      <c r="O22" s="14" t="s">
        <v>228</v>
      </c>
      <c r="P22" s="14" t="s">
        <v>229</v>
      </c>
    </row>
    <row r="23" customFormat="false" ht="64.9" hidden="false" customHeight="false" outlineLevel="0" collapsed="false">
      <c r="A23" s="14" t="n">
        <v>22</v>
      </c>
      <c r="B23" s="14" t="s">
        <v>230</v>
      </c>
      <c r="C23" s="14" t="s">
        <v>85</v>
      </c>
      <c r="D23" s="14" t="s">
        <v>142</v>
      </c>
      <c r="E23" s="14" t="s">
        <v>21</v>
      </c>
      <c r="F23" s="14" t="s">
        <v>26</v>
      </c>
      <c r="G23" s="14" t="s">
        <v>231</v>
      </c>
      <c r="H23" s="14" t="s">
        <v>232</v>
      </c>
      <c r="I23" s="14" t="s">
        <v>34</v>
      </c>
      <c r="J23" s="14" t="s">
        <v>45</v>
      </c>
      <c r="K23" s="14" t="s">
        <v>193</v>
      </c>
      <c r="L23" s="14" t="s">
        <v>73</v>
      </c>
      <c r="M23" s="14" t="s">
        <v>79</v>
      </c>
      <c r="N23" s="14" t="s">
        <v>82</v>
      </c>
      <c r="O23" s="14" t="s">
        <v>233</v>
      </c>
      <c r="P23" s="14" t="s">
        <v>234</v>
      </c>
    </row>
    <row r="24" customFormat="false" ht="39.55" hidden="false" customHeight="false" outlineLevel="0" collapsed="false">
      <c r="A24" s="14" t="n">
        <v>23</v>
      </c>
      <c r="B24" s="14" t="s">
        <v>235</v>
      </c>
      <c r="C24" s="14" t="s">
        <v>85</v>
      </c>
      <c r="D24" s="14" t="s">
        <v>142</v>
      </c>
      <c r="E24" s="14" t="s">
        <v>21</v>
      </c>
      <c r="F24" s="14" t="s">
        <v>26</v>
      </c>
      <c r="G24" s="14" t="s">
        <v>231</v>
      </c>
      <c r="H24" s="14" t="s">
        <v>236</v>
      </c>
      <c r="I24" s="14" t="s">
        <v>237</v>
      </c>
      <c r="J24" s="14" t="s">
        <v>45</v>
      </c>
      <c r="K24" s="14" t="s">
        <v>70</v>
      </c>
      <c r="L24" s="14" t="s">
        <v>72</v>
      </c>
      <c r="M24" s="14" t="s">
        <v>79</v>
      </c>
      <c r="N24" s="14" t="s">
        <v>83</v>
      </c>
      <c r="O24" s="14" t="s">
        <v>238</v>
      </c>
      <c r="P24" s="14" t="s">
        <v>239</v>
      </c>
    </row>
    <row r="25" customFormat="false" ht="90.25" hidden="false" customHeight="false" outlineLevel="0" collapsed="false">
      <c r="A25" s="14" t="n">
        <v>24</v>
      </c>
      <c r="B25" s="14" t="s">
        <v>240</v>
      </c>
      <c r="C25" s="14" t="s">
        <v>102</v>
      </c>
      <c r="D25" s="14" t="s">
        <v>241</v>
      </c>
      <c r="E25" s="14" t="s">
        <v>22</v>
      </c>
      <c r="F25" s="14" t="s">
        <v>26</v>
      </c>
      <c r="G25" s="14" t="s">
        <v>60</v>
      </c>
      <c r="H25" s="14" t="s">
        <v>242</v>
      </c>
      <c r="I25" s="14" t="s">
        <v>41</v>
      </c>
      <c r="J25" s="14" t="s">
        <v>49</v>
      </c>
      <c r="K25" s="14" t="s">
        <v>70</v>
      </c>
      <c r="L25" s="14" t="s">
        <v>72</v>
      </c>
      <c r="M25" s="14" t="s">
        <v>78</v>
      </c>
      <c r="N25" s="14" t="s">
        <v>83</v>
      </c>
      <c r="O25" s="14" t="s">
        <v>243</v>
      </c>
      <c r="P25" s="14" t="s">
        <v>244</v>
      </c>
    </row>
    <row r="26" customFormat="false" ht="52.2" hidden="false" customHeight="false" outlineLevel="0" collapsed="false">
      <c r="A26" s="14" t="n">
        <v>25</v>
      </c>
      <c r="B26" s="14" t="s">
        <v>245</v>
      </c>
      <c r="C26" s="14" t="s">
        <v>86</v>
      </c>
      <c r="D26" s="14" t="s">
        <v>153</v>
      </c>
      <c r="E26" s="14" t="s">
        <v>21</v>
      </c>
      <c r="F26" s="14" t="s">
        <v>27</v>
      </c>
      <c r="G26" s="14" t="s">
        <v>206</v>
      </c>
      <c r="H26" s="14" t="s">
        <v>246</v>
      </c>
      <c r="I26" s="14" t="s">
        <v>31</v>
      </c>
      <c r="J26" s="14" t="s">
        <v>45</v>
      </c>
      <c r="K26" s="14" t="s">
        <v>247</v>
      </c>
      <c r="L26" s="14" t="s">
        <v>72</v>
      </c>
      <c r="M26" s="14" t="s">
        <v>79</v>
      </c>
      <c r="N26" s="14" t="s">
        <v>83</v>
      </c>
      <c r="O26" s="14" t="s">
        <v>248</v>
      </c>
      <c r="P26" s="14" t="s">
        <v>249</v>
      </c>
    </row>
    <row r="27" customFormat="false" ht="64.9" hidden="false" customHeight="false" outlineLevel="0" collapsed="false">
      <c r="A27" s="14" t="n">
        <v>26</v>
      </c>
      <c r="B27" s="14" t="s">
        <v>250</v>
      </c>
      <c r="C27" s="14" t="s">
        <v>89</v>
      </c>
      <c r="D27" s="14" t="s">
        <v>165</v>
      </c>
      <c r="E27" s="14" t="s">
        <v>22</v>
      </c>
      <c r="F27" s="14" t="s">
        <v>29</v>
      </c>
      <c r="G27" s="14" t="s">
        <v>251</v>
      </c>
      <c r="H27" s="14" t="s">
        <v>252</v>
      </c>
      <c r="I27" s="14" t="s">
        <v>253</v>
      </c>
      <c r="J27" s="14" t="s">
        <v>45</v>
      </c>
      <c r="K27" s="14" t="s">
        <v>63</v>
      </c>
      <c r="L27" s="14" t="s">
        <v>72</v>
      </c>
      <c r="M27" s="14" t="s">
        <v>78</v>
      </c>
      <c r="N27" s="14" t="s">
        <v>83</v>
      </c>
      <c r="O27" s="14" t="s">
        <v>254</v>
      </c>
      <c r="P27" s="14" t="s">
        <v>255</v>
      </c>
    </row>
    <row r="28" customFormat="false" ht="90.25" hidden="false" customHeight="false" outlineLevel="0" collapsed="false">
      <c r="A28" s="14" t="n">
        <v>27</v>
      </c>
      <c r="B28" s="14" t="s">
        <v>256</v>
      </c>
      <c r="C28" s="14" t="s">
        <v>86</v>
      </c>
      <c r="D28" s="14" t="s">
        <v>153</v>
      </c>
      <c r="E28" s="14" t="s">
        <v>21</v>
      </c>
      <c r="F28" s="14" t="s">
        <v>27</v>
      </c>
      <c r="G28" s="14" t="s">
        <v>257</v>
      </c>
      <c r="H28" s="14" t="s">
        <v>258</v>
      </c>
      <c r="I28" s="14" t="s">
        <v>160</v>
      </c>
      <c r="J28" s="14" t="s">
        <v>45</v>
      </c>
      <c r="K28" s="14" t="s">
        <v>154</v>
      </c>
      <c r="L28" s="14" t="s">
        <v>72</v>
      </c>
      <c r="M28" s="14" t="s">
        <v>79</v>
      </c>
      <c r="N28" s="14" t="s">
        <v>83</v>
      </c>
      <c r="O28" s="14" t="s">
        <v>259</v>
      </c>
      <c r="P28" s="14" t="s">
        <v>260</v>
      </c>
    </row>
    <row r="29" customFormat="false" ht="64.9" hidden="false" customHeight="false" outlineLevel="0" collapsed="false">
      <c r="A29" s="14" t="n">
        <v>28</v>
      </c>
      <c r="B29" s="14" t="s">
        <v>261</v>
      </c>
      <c r="C29" s="14" t="s">
        <v>88</v>
      </c>
      <c r="D29" s="14" t="s">
        <v>132</v>
      </c>
      <c r="E29" s="14" t="s">
        <v>21</v>
      </c>
      <c r="F29" s="14" t="s">
        <v>27</v>
      </c>
      <c r="G29" s="14" t="s">
        <v>58</v>
      </c>
      <c r="H29" s="14" t="s">
        <v>31</v>
      </c>
      <c r="I29" s="14" t="s">
        <v>31</v>
      </c>
      <c r="J29" s="14" t="s">
        <v>46</v>
      </c>
      <c r="K29" s="14" t="s">
        <v>262</v>
      </c>
      <c r="L29" s="14" t="s">
        <v>72</v>
      </c>
      <c r="M29" s="14" t="s">
        <v>78</v>
      </c>
      <c r="N29" s="14" t="s">
        <v>83</v>
      </c>
      <c r="O29" s="14" t="s">
        <v>263</v>
      </c>
      <c r="P29" s="14" t="s">
        <v>264</v>
      </c>
    </row>
    <row r="30" customFormat="false" ht="39.55" hidden="false" customHeight="false" outlineLevel="0" collapsed="false">
      <c r="A30" s="14" t="n">
        <v>29</v>
      </c>
      <c r="B30" s="14" t="s">
        <v>265</v>
      </c>
      <c r="C30" s="14" t="s">
        <v>85</v>
      </c>
      <c r="D30" s="14" t="s">
        <v>142</v>
      </c>
      <c r="E30" s="14" t="s">
        <v>21</v>
      </c>
      <c r="F30" s="14" t="s">
        <v>26</v>
      </c>
      <c r="G30" s="14" t="s">
        <v>231</v>
      </c>
      <c r="H30" s="14" t="s">
        <v>266</v>
      </c>
      <c r="I30" s="14" t="s">
        <v>34</v>
      </c>
      <c r="J30" s="14" t="s">
        <v>45</v>
      </c>
      <c r="K30" s="14" t="s">
        <v>70</v>
      </c>
      <c r="L30" s="14" t="s">
        <v>72</v>
      </c>
      <c r="M30" s="14" t="s">
        <v>78</v>
      </c>
      <c r="N30" s="14" t="s">
        <v>83</v>
      </c>
      <c r="O30" s="14" t="s">
        <v>267</v>
      </c>
      <c r="P30" s="14" t="s">
        <v>268</v>
      </c>
    </row>
    <row r="31" customFormat="false" ht="64.9" hidden="false" customHeight="false" outlineLevel="0" collapsed="false">
      <c r="A31" s="14" t="n">
        <v>30</v>
      </c>
      <c r="B31" s="14" t="s">
        <v>269</v>
      </c>
      <c r="C31" s="14" t="s">
        <v>86</v>
      </c>
      <c r="D31" s="14" t="s">
        <v>153</v>
      </c>
      <c r="E31" s="14" t="s">
        <v>21</v>
      </c>
      <c r="F31" s="14" t="s">
        <v>27</v>
      </c>
      <c r="G31" s="14" t="s">
        <v>270</v>
      </c>
      <c r="H31" s="14" t="s">
        <v>271</v>
      </c>
      <c r="I31" s="14" t="s">
        <v>32</v>
      </c>
      <c r="J31" s="14" t="s">
        <v>45</v>
      </c>
      <c r="K31" s="14" t="s">
        <v>154</v>
      </c>
      <c r="L31" s="14" t="s">
        <v>72</v>
      </c>
      <c r="M31" s="14" t="s">
        <v>79</v>
      </c>
      <c r="N31" s="14" t="s">
        <v>83</v>
      </c>
      <c r="O31" s="14" t="s">
        <v>272</v>
      </c>
      <c r="P31" s="14" t="s">
        <v>273</v>
      </c>
    </row>
    <row r="32" customFormat="false" ht="52.2" hidden="false" customHeight="false" outlineLevel="0" collapsed="false">
      <c r="A32" s="14" t="n">
        <v>31</v>
      </c>
      <c r="B32" s="14" t="s">
        <v>274</v>
      </c>
      <c r="C32" s="14" t="s">
        <v>85</v>
      </c>
      <c r="D32" s="14" t="s">
        <v>142</v>
      </c>
      <c r="E32" s="14" t="s">
        <v>21</v>
      </c>
      <c r="F32" s="14" t="s">
        <v>26</v>
      </c>
      <c r="G32" s="14" t="s">
        <v>58</v>
      </c>
      <c r="H32" s="14" t="s">
        <v>275</v>
      </c>
      <c r="I32" s="14" t="s">
        <v>38</v>
      </c>
      <c r="J32" s="14" t="s">
        <v>45</v>
      </c>
      <c r="K32" s="14" t="s">
        <v>193</v>
      </c>
      <c r="L32" s="14" t="s">
        <v>48</v>
      </c>
      <c r="M32" s="14" t="s">
        <v>79</v>
      </c>
      <c r="N32" s="14" t="s">
        <v>83</v>
      </c>
      <c r="O32" s="14" t="s">
        <v>276</v>
      </c>
      <c r="P32" s="14" t="s">
        <v>277</v>
      </c>
    </row>
    <row r="33" customFormat="false" ht="64.9" hidden="false" customHeight="false" outlineLevel="0" collapsed="false">
      <c r="A33" s="14" t="n">
        <v>32</v>
      </c>
      <c r="B33" s="14" t="s">
        <v>278</v>
      </c>
      <c r="C33" s="14" t="s">
        <v>103</v>
      </c>
      <c r="D33" s="14" t="s">
        <v>279</v>
      </c>
      <c r="E33" s="14" t="s">
        <v>21</v>
      </c>
      <c r="F33" s="14" t="s">
        <v>26</v>
      </c>
      <c r="G33" s="14" t="s">
        <v>60</v>
      </c>
      <c r="H33" s="14" t="s">
        <v>143</v>
      </c>
      <c r="I33" s="14" t="s">
        <v>31</v>
      </c>
      <c r="J33" s="14" t="s">
        <v>45</v>
      </c>
      <c r="K33" s="14" t="s">
        <v>63</v>
      </c>
      <c r="L33" s="14" t="s">
        <v>48</v>
      </c>
      <c r="M33" s="14" t="s">
        <v>78</v>
      </c>
      <c r="N33" s="14" t="s">
        <v>82</v>
      </c>
      <c r="O33" s="14" t="s">
        <v>280</v>
      </c>
      <c r="P33" s="14" t="s">
        <v>281</v>
      </c>
    </row>
    <row r="34" customFormat="false" ht="39.55" hidden="false" customHeight="false" outlineLevel="0" collapsed="false">
      <c r="A34" s="14" t="n">
        <v>33</v>
      </c>
      <c r="B34" s="14" t="s">
        <v>282</v>
      </c>
      <c r="C34" s="14" t="s">
        <v>87</v>
      </c>
      <c r="D34" s="14" t="s">
        <v>283</v>
      </c>
      <c r="E34" s="14" t="s">
        <v>22</v>
      </c>
      <c r="F34" s="14" t="s">
        <v>26</v>
      </c>
      <c r="G34" s="14" t="s">
        <v>61</v>
      </c>
      <c r="H34" s="14" t="s">
        <v>284</v>
      </c>
      <c r="I34" s="14" t="s">
        <v>37</v>
      </c>
      <c r="J34" s="14" t="s">
        <v>47</v>
      </c>
      <c r="K34" s="14" t="s">
        <v>285</v>
      </c>
      <c r="L34" s="14" t="s">
        <v>48</v>
      </c>
      <c r="M34" s="14" t="s">
        <v>78</v>
      </c>
      <c r="N34" s="14" t="s">
        <v>82</v>
      </c>
      <c r="O34" s="14" t="s">
        <v>286</v>
      </c>
      <c r="P34" s="14" t="s">
        <v>287</v>
      </c>
    </row>
    <row r="35" customFormat="false" ht="64.9" hidden="false" customHeight="false" outlineLevel="0" collapsed="false">
      <c r="A35" s="14" t="n">
        <v>34</v>
      </c>
      <c r="B35" s="14" t="s">
        <v>288</v>
      </c>
      <c r="C35" s="14" t="s">
        <v>87</v>
      </c>
      <c r="D35" s="14" t="s">
        <v>283</v>
      </c>
      <c r="E35" s="14" t="s">
        <v>22</v>
      </c>
      <c r="F35" s="14" t="s">
        <v>26</v>
      </c>
      <c r="G35" s="14" t="s">
        <v>58</v>
      </c>
      <c r="H35" s="14" t="s">
        <v>289</v>
      </c>
      <c r="I35" s="14" t="s">
        <v>31</v>
      </c>
      <c r="J35" s="14" t="s">
        <v>47</v>
      </c>
      <c r="K35" s="14" t="s">
        <v>65</v>
      </c>
      <c r="L35" s="14" t="s">
        <v>48</v>
      </c>
      <c r="M35" s="14" t="s">
        <v>78</v>
      </c>
      <c r="N35" s="14" t="s">
        <v>82</v>
      </c>
      <c r="O35" s="14" t="s">
        <v>290</v>
      </c>
      <c r="P35" s="14" t="s">
        <v>291</v>
      </c>
    </row>
    <row r="36" customFormat="false" ht="90.25" hidden="false" customHeight="false" outlineLevel="0" collapsed="false">
      <c r="A36" s="14" t="n">
        <v>35</v>
      </c>
      <c r="B36" s="14" t="s">
        <v>292</v>
      </c>
      <c r="C36" s="14" t="s">
        <v>92</v>
      </c>
      <c r="D36" s="14" t="s">
        <v>293</v>
      </c>
      <c r="E36" s="14" t="s">
        <v>22</v>
      </c>
      <c r="F36" s="14" t="s">
        <v>28</v>
      </c>
      <c r="G36" s="14" t="s">
        <v>58</v>
      </c>
      <c r="H36" s="14" t="s">
        <v>294</v>
      </c>
      <c r="I36" s="14" t="s">
        <v>43</v>
      </c>
      <c r="J36" s="14" t="s">
        <v>46</v>
      </c>
      <c r="K36" s="14" t="s">
        <v>64</v>
      </c>
      <c r="L36" s="14" t="s">
        <v>48</v>
      </c>
      <c r="M36" s="14" t="s">
        <v>80</v>
      </c>
      <c r="N36" s="14" t="s">
        <v>82</v>
      </c>
      <c r="O36" s="14" t="s">
        <v>295</v>
      </c>
      <c r="P36" s="14" t="s">
        <v>296</v>
      </c>
    </row>
    <row r="37" customFormat="false" ht="115.65" hidden="false" customHeight="false" outlineLevel="0" collapsed="false">
      <c r="A37" s="14" t="n">
        <v>36</v>
      </c>
      <c r="B37" s="14" t="s">
        <v>297</v>
      </c>
      <c r="C37" s="14" t="s">
        <v>104</v>
      </c>
      <c r="D37" s="14" t="s">
        <v>298</v>
      </c>
      <c r="E37" s="14" t="s">
        <v>22</v>
      </c>
      <c r="F37" s="14" t="s">
        <v>26</v>
      </c>
      <c r="G37" s="14" t="s">
        <v>52</v>
      </c>
      <c r="H37" s="14" t="s">
        <v>299</v>
      </c>
      <c r="I37" s="14" t="s">
        <v>43</v>
      </c>
      <c r="J37" s="14" t="s">
        <v>48</v>
      </c>
      <c r="K37" s="14" t="s">
        <v>64</v>
      </c>
      <c r="L37" s="14" t="s">
        <v>48</v>
      </c>
      <c r="M37" s="14" t="s">
        <v>80</v>
      </c>
      <c r="N37" s="14" t="s">
        <v>82</v>
      </c>
      <c r="O37" s="14" t="s">
        <v>300</v>
      </c>
      <c r="P37" s="14" t="s">
        <v>301</v>
      </c>
    </row>
    <row r="38" customFormat="false" ht="39.55" hidden="false" customHeight="false" outlineLevel="0" collapsed="false">
      <c r="A38" s="14" t="n">
        <v>37</v>
      </c>
      <c r="B38" s="14" t="s">
        <v>302</v>
      </c>
      <c r="C38" s="14" t="s">
        <v>105</v>
      </c>
      <c r="D38" s="14" t="s">
        <v>303</v>
      </c>
      <c r="E38" s="14" t="s">
        <v>24</v>
      </c>
      <c r="F38" s="14" t="s">
        <v>26</v>
      </c>
      <c r="G38" s="14" t="s">
        <v>60</v>
      </c>
      <c r="H38" s="14" t="s">
        <v>304</v>
      </c>
      <c r="I38" s="14" t="s">
        <v>305</v>
      </c>
      <c r="J38" s="14" t="s">
        <v>46</v>
      </c>
      <c r="K38" s="14" t="s">
        <v>306</v>
      </c>
      <c r="L38" s="14" t="s">
        <v>74</v>
      </c>
      <c r="M38" s="14" t="s">
        <v>78</v>
      </c>
      <c r="N38" s="14" t="s">
        <v>82</v>
      </c>
      <c r="O38" s="14" t="s">
        <v>307</v>
      </c>
      <c r="P38" s="14" t="s">
        <v>308</v>
      </c>
    </row>
    <row r="39" customFormat="false" ht="90.25" hidden="false" customHeight="false" outlineLevel="0" collapsed="false">
      <c r="A39" s="14" t="n">
        <v>38</v>
      </c>
      <c r="B39" s="14" t="s">
        <v>309</v>
      </c>
      <c r="C39" s="14" t="s">
        <v>92</v>
      </c>
      <c r="D39" s="14" t="s">
        <v>293</v>
      </c>
      <c r="E39" s="14" t="s">
        <v>22</v>
      </c>
      <c r="F39" s="14" t="s">
        <v>28</v>
      </c>
      <c r="G39" s="14" t="s">
        <v>60</v>
      </c>
      <c r="H39" s="14" t="s">
        <v>310</v>
      </c>
      <c r="I39" s="14" t="s">
        <v>43</v>
      </c>
      <c r="J39" s="14" t="s">
        <v>46</v>
      </c>
      <c r="K39" s="14" t="s">
        <v>64</v>
      </c>
      <c r="L39" s="14" t="s">
        <v>74</v>
      </c>
      <c r="M39" s="14" t="s">
        <v>80</v>
      </c>
      <c r="N39" s="14" t="s">
        <v>82</v>
      </c>
      <c r="O39" s="14" t="s">
        <v>311</v>
      </c>
      <c r="P39" s="14" t="s">
        <v>312</v>
      </c>
    </row>
    <row r="40" customFormat="false" ht="90.25" hidden="false" customHeight="false" outlineLevel="0" collapsed="false">
      <c r="A40" s="14" t="n">
        <v>39</v>
      </c>
      <c r="B40" s="14" t="s">
        <v>313</v>
      </c>
      <c r="C40" s="14" t="s">
        <v>87</v>
      </c>
      <c r="D40" s="14" t="s">
        <v>283</v>
      </c>
      <c r="E40" s="14" t="s">
        <v>22</v>
      </c>
      <c r="F40" s="14" t="s">
        <v>26</v>
      </c>
      <c r="G40" s="14" t="s">
        <v>60</v>
      </c>
      <c r="H40" s="14" t="s">
        <v>314</v>
      </c>
      <c r="I40" s="14" t="s">
        <v>43</v>
      </c>
      <c r="J40" s="14" t="s">
        <v>48</v>
      </c>
      <c r="K40" s="14" t="s">
        <v>262</v>
      </c>
      <c r="L40" s="14" t="s">
        <v>48</v>
      </c>
      <c r="M40" s="14" t="s">
        <v>80</v>
      </c>
      <c r="N40" s="14" t="s">
        <v>82</v>
      </c>
      <c r="O40" s="14" t="s">
        <v>315</v>
      </c>
      <c r="P40" s="14" t="s">
        <v>316</v>
      </c>
    </row>
    <row r="41" customFormat="false" ht="102.95" hidden="false" customHeight="false" outlineLevel="0" collapsed="false">
      <c r="A41" s="14" t="n">
        <v>40</v>
      </c>
      <c r="B41" s="14" t="s">
        <v>317</v>
      </c>
      <c r="C41" s="14" t="s">
        <v>87</v>
      </c>
      <c r="D41" s="14" t="s">
        <v>283</v>
      </c>
      <c r="E41" s="14" t="s">
        <v>22</v>
      </c>
      <c r="F41" s="14" t="s">
        <v>26</v>
      </c>
      <c r="G41" s="14" t="s">
        <v>60</v>
      </c>
      <c r="H41" s="14" t="s">
        <v>314</v>
      </c>
      <c r="I41" s="14" t="s">
        <v>43</v>
      </c>
      <c r="J41" s="14" t="s">
        <v>48</v>
      </c>
      <c r="K41" s="14" t="s">
        <v>64</v>
      </c>
      <c r="L41" s="14" t="s">
        <v>48</v>
      </c>
      <c r="M41" s="14" t="s">
        <v>80</v>
      </c>
      <c r="N41" s="14" t="s">
        <v>82</v>
      </c>
      <c r="O41" s="14" t="s">
        <v>318</v>
      </c>
      <c r="P41" s="14" t="s">
        <v>319</v>
      </c>
    </row>
    <row r="42" customFormat="false" ht="52.2" hidden="false" customHeight="false" outlineLevel="0" collapsed="false">
      <c r="A42" s="14" t="n">
        <v>41</v>
      </c>
      <c r="B42" s="14" t="s">
        <v>320</v>
      </c>
      <c r="C42" s="14" t="s">
        <v>106</v>
      </c>
      <c r="D42" s="14" t="s">
        <v>321</v>
      </c>
      <c r="E42" s="14" t="s">
        <v>21</v>
      </c>
      <c r="F42" s="14" t="s">
        <v>26</v>
      </c>
      <c r="G42" s="14" t="s">
        <v>52</v>
      </c>
      <c r="H42" s="14" t="s">
        <v>322</v>
      </c>
      <c r="I42" s="14" t="s">
        <v>323</v>
      </c>
      <c r="J42" s="14" t="s">
        <v>50</v>
      </c>
      <c r="K42" s="14" t="s">
        <v>63</v>
      </c>
      <c r="L42" s="14" t="s">
        <v>73</v>
      </c>
      <c r="M42" s="14" t="s">
        <v>79</v>
      </c>
      <c r="N42" s="14" t="s">
        <v>82</v>
      </c>
      <c r="O42" s="14" t="s">
        <v>324</v>
      </c>
      <c r="P42" s="14" t="s">
        <v>325</v>
      </c>
    </row>
  </sheetData>
  <autoFilter ref="A1:P4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32" min="2" style="0" width="14"/>
  </cols>
  <sheetData>
    <row r="1" customFormat="false" ht="75" hidden="false" customHeight="true" outlineLevel="0" collapsed="false">
      <c r="A1" s="11" t="s">
        <v>112</v>
      </c>
      <c r="B1" s="11" t="s">
        <v>326</v>
      </c>
      <c r="C1" s="11" t="s">
        <v>327</v>
      </c>
      <c r="D1" s="11" t="s">
        <v>328</v>
      </c>
      <c r="E1" s="11" t="s">
        <v>329</v>
      </c>
      <c r="F1" s="11" t="s">
        <v>330</v>
      </c>
      <c r="G1" s="11" t="s">
        <v>331</v>
      </c>
      <c r="H1" s="11" t="s">
        <v>332</v>
      </c>
      <c r="I1" s="11" t="s">
        <v>333</v>
      </c>
      <c r="J1" s="11" t="s">
        <v>334</v>
      </c>
      <c r="K1" s="11" t="s">
        <v>335</v>
      </c>
      <c r="L1" s="11" t="s">
        <v>336</v>
      </c>
      <c r="M1" s="11" t="s">
        <v>337</v>
      </c>
      <c r="N1" s="11" t="s">
        <v>338</v>
      </c>
      <c r="O1" s="11" t="s">
        <v>339</v>
      </c>
      <c r="P1" s="11" t="s">
        <v>340</v>
      </c>
      <c r="Q1" s="11" t="s">
        <v>341</v>
      </c>
      <c r="R1" s="11" t="s">
        <v>342</v>
      </c>
      <c r="S1" s="11" t="s">
        <v>343</v>
      </c>
      <c r="T1" s="11" t="s">
        <v>344</v>
      </c>
      <c r="U1" s="11" t="s">
        <v>345</v>
      </c>
      <c r="V1" s="11" t="s">
        <v>346</v>
      </c>
      <c r="W1" s="11" t="s">
        <v>347</v>
      </c>
      <c r="X1" s="11" t="s">
        <v>348</v>
      </c>
      <c r="Y1" s="11" t="s">
        <v>349</v>
      </c>
      <c r="Z1" s="11" t="s">
        <v>350</v>
      </c>
      <c r="AA1" s="11" t="s">
        <v>351</v>
      </c>
      <c r="AB1" s="11" t="s">
        <v>352</v>
      </c>
      <c r="AC1" s="11" t="s">
        <v>353</v>
      </c>
      <c r="AD1" s="11" t="s">
        <v>354</v>
      </c>
      <c r="AE1" s="11" t="s">
        <v>355</v>
      </c>
      <c r="AF1" s="11" t="s">
        <v>356</v>
      </c>
    </row>
    <row r="2" customFormat="false" ht="15" hidden="false" customHeight="false" outlineLevel="0" collapsed="false">
      <c r="A2" s="9" t="n">
        <v>1</v>
      </c>
      <c r="B2" s="9" t="n">
        <v>0</v>
      </c>
      <c r="C2" s="9" t="n">
        <v>1</v>
      </c>
      <c r="D2" s="9" t="n">
        <v>0</v>
      </c>
      <c r="E2" s="9" t="n">
        <v>0</v>
      </c>
      <c r="F2" s="9" t="n">
        <v>0</v>
      </c>
      <c r="G2" s="9" t="n">
        <v>0</v>
      </c>
      <c r="H2" s="9" t="n">
        <v>0</v>
      </c>
      <c r="I2" s="9" t="n">
        <v>0</v>
      </c>
      <c r="J2" s="9" t="n">
        <v>0</v>
      </c>
      <c r="K2" s="9" t="n">
        <v>0</v>
      </c>
      <c r="L2" s="9" t="n">
        <v>0</v>
      </c>
      <c r="M2" s="9" t="n">
        <v>1</v>
      </c>
      <c r="N2" s="9" t="n">
        <v>0</v>
      </c>
      <c r="O2" s="9" t="n">
        <v>0</v>
      </c>
      <c r="P2" s="9" t="n">
        <v>0</v>
      </c>
      <c r="Q2" s="9" t="n">
        <v>0</v>
      </c>
      <c r="R2" s="9" t="n">
        <v>0</v>
      </c>
      <c r="S2" s="9" t="n">
        <v>0</v>
      </c>
      <c r="T2" s="9" t="n">
        <v>0</v>
      </c>
      <c r="U2" s="9" t="n">
        <v>0</v>
      </c>
      <c r="V2" s="9" t="n">
        <v>0</v>
      </c>
      <c r="W2" s="9" t="n">
        <v>0</v>
      </c>
      <c r="X2" s="9" t="n">
        <v>0</v>
      </c>
      <c r="Y2" s="9" t="n">
        <v>0</v>
      </c>
      <c r="Z2" s="9" t="n">
        <v>0</v>
      </c>
      <c r="AA2" s="9" t="n">
        <v>0</v>
      </c>
      <c r="AB2" s="9" t="n">
        <v>1</v>
      </c>
      <c r="AC2" s="9" t="n">
        <v>0</v>
      </c>
      <c r="AD2" s="9" t="n">
        <v>0</v>
      </c>
      <c r="AE2" s="9" t="n">
        <v>0</v>
      </c>
      <c r="AF2" s="9" t="n">
        <v>0</v>
      </c>
    </row>
    <row r="3" customFormat="false" ht="15" hidden="false" customHeight="false" outlineLevel="0" collapsed="false">
      <c r="A3" s="9" t="n">
        <v>2</v>
      </c>
      <c r="B3" s="9" t="n">
        <v>0</v>
      </c>
      <c r="C3" s="9" t="n">
        <v>0</v>
      </c>
      <c r="D3" s="9" t="n">
        <v>1</v>
      </c>
      <c r="E3" s="9" t="n">
        <v>0</v>
      </c>
      <c r="F3" s="9" t="n">
        <v>0</v>
      </c>
      <c r="G3" s="9" t="n">
        <v>0</v>
      </c>
      <c r="H3" s="9" t="n">
        <v>0</v>
      </c>
      <c r="I3" s="9" t="n">
        <v>0</v>
      </c>
      <c r="J3" s="9" t="n">
        <v>0</v>
      </c>
      <c r="K3" s="9" t="n">
        <v>0</v>
      </c>
      <c r="L3" s="9" t="n">
        <v>1</v>
      </c>
      <c r="M3" s="9" t="n">
        <v>0</v>
      </c>
      <c r="N3" s="9" t="n">
        <v>0</v>
      </c>
      <c r="O3" s="9" t="n">
        <v>0</v>
      </c>
      <c r="P3" s="9" t="n">
        <v>0</v>
      </c>
      <c r="Q3" s="9" t="n">
        <v>0</v>
      </c>
      <c r="R3" s="9" t="n">
        <v>0</v>
      </c>
      <c r="S3" s="9" t="n">
        <v>0</v>
      </c>
      <c r="T3" s="9" t="n">
        <v>0</v>
      </c>
      <c r="U3" s="9" t="n">
        <v>0</v>
      </c>
      <c r="V3" s="9" t="n">
        <v>0</v>
      </c>
      <c r="W3" s="9" t="n">
        <v>0</v>
      </c>
      <c r="X3" s="9" t="n">
        <v>0</v>
      </c>
      <c r="Y3" s="9" t="n">
        <v>1</v>
      </c>
      <c r="Z3" s="9" t="n">
        <v>0</v>
      </c>
      <c r="AA3" s="9" t="n">
        <v>0</v>
      </c>
      <c r="AB3" s="9" t="n">
        <v>0</v>
      </c>
      <c r="AC3" s="9" t="n">
        <v>0</v>
      </c>
      <c r="AD3" s="9" t="n">
        <v>0</v>
      </c>
      <c r="AE3" s="9" t="n">
        <v>0</v>
      </c>
      <c r="AF3" s="9" t="n">
        <v>0</v>
      </c>
    </row>
    <row r="4" customFormat="false" ht="15" hidden="false" customHeight="false" outlineLevel="0" collapsed="false">
      <c r="A4" s="9" t="n">
        <v>3</v>
      </c>
      <c r="B4" s="9" t="n">
        <v>0</v>
      </c>
      <c r="C4" s="9" t="n">
        <v>0</v>
      </c>
      <c r="D4" s="9" t="n">
        <v>0</v>
      </c>
      <c r="E4" s="9" t="n">
        <v>0</v>
      </c>
      <c r="F4" s="9" t="n">
        <v>0</v>
      </c>
      <c r="G4" s="9" t="n">
        <v>0</v>
      </c>
      <c r="H4" s="9" t="n">
        <v>0</v>
      </c>
      <c r="I4" s="9" t="n">
        <v>1</v>
      </c>
      <c r="J4" s="9" t="n">
        <v>0</v>
      </c>
      <c r="K4" s="9" t="n">
        <v>0</v>
      </c>
      <c r="L4" s="9" t="n">
        <v>0</v>
      </c>
      <c r="M4" s="9" t="n">
        <v>1</v>
      </c>
      <c r="N4" s="9" t="n">
        <v>0</v>
      </c>
      <c r="O4" s="9" t="n">
        <v>0</v>
      </c>
      <c r="P4" s="9" t="n">
        <v>0</v>
      </c>
      <c r="Q4" s="9" t="n">
        <v>0</v>
      </c>
      <c r="R4" s="9" t="n">
        <v>0</v>
      </c>
      <c r="S4" s="9" t="n">
        <v>0</v>
      </c>
      <c r="T4" s="9" t="n">
        <v>0</v>
      </c>
      <c r="U4" s="9" t="n">
        <v>0</v>
      </c>
      <c r="V4" s="9" t="n">
        <v>0</v>
      </c>
      <c r="W4" s="9" t="n">
        <v>0</v>
      </c>
      <c r="X4" s="9" t="n">
        <v>0</v>
      </c>
      <c r="Y4" s="9" t="n">
        <v>0</v>
      </c>
      <c r="Z4" s="9" t="n">
        <v>0</v>
      </c>
      <c r="AA4" s="9" t="n">
        <v>0</v>
      </c>
      <c r="AB4" s="9" t="n">
        <v>0</v>
      </c>
      <c r="AC4" s="9" t="n">
        <v>1</v>
      </c>
      <c r="AD4" s="9" t="n">
        <v>0</v>
      </c>
      <c r="AE4" s="9" t="n">
        <v>0</v>
      </c>
      <c r="AF4" s="9" t="n">
        <v>0</v>
      </c>
    </row>
    <row r="5" customFormat="false" ht="15" hidden="false" customHeight="false" outlineLevel="0" collapsed="false">
      <c r="A5" s="9" t="n">
        <v>4</v>
      </c>
      <c r="B5" s="9" t="n">
        <v>0</v>
      </c>
      <c r="C5" s="9" t="n">
        <v>0</v>
      </c>
      <c r="D5" s="9" t="n">
        <v>0</v>
      </c>
      <c r="E5" s="9" t="n">
        <v>0</v>
      </c>
      <c r="F5" s="9" t="n">
        <v>0</v>
      </c>
      <c r="G5" s="9" t="n">
        <v>0</v>
      </c>
      <c r="H5" s="9" t="n">
        <v>0</v>
      </c>
      <c r="I5" s="9" t="n">
        <v>1</v>
      </c>
      <c r="J5" s="9" t="n">
        <v>0</v>
      </c>
      <c r="K5" s="9" t="n">
        <v>0</v>
      </c>
      <c r="L5" s="9" t="n">
        <v>1</v>
      </c>
      <c r="M5" s="9" t="n">
        <v>0</v>
      </c>
      <c r="N5" s="9" t="n">
        <v>1</v>
      </c>
      <c r="O5" s="9" t="n">
        <v>1</v>
      </c>
      <c r="P5" s="9" t="n">
        <v>0</v>
      </c>
      <c r="Q5" s="9" t="n">
        <v>0</v>
      </c>
      <c r="R5" s="9" t="n">
        <v>0</v>
      </c>
      <c r="S5" s="9" t="n">
        <v>0</v>
      </c>
      <c r="T5" s="9" t="n">
        <v>1</v>
      </c>
      <c r="U5" s="9" t="n">
        <v>0</v>
      </c>
      <c r="V5" s="9" t="n">
        <v>0</v>
      </c>
      <c r="W5" s="9" t="n">
        <v>0</v>
      </c>
      <c r="X5" s="9" t="n">
        <v>0</v>
      </c>
      <c r="Y5" s="9" t="n">
        <v>0</v>
      </c>
      <c r="Z5" s="9" t="n">
        <v>0</v>
      </c>
      <c r="AA5" s="9" t="n">
        <v>0</v>
      </c>
      <c r="AB5" s="9" t="n">
        <v>0</v>
      </c>
      <c r="AC5" s="9" t="n">
        <v>0</v>
      </c>
      <c r="AD5" s="9" t="n">
        <v>0</v>
      </c>
      <c r="AE5" s="9" t="n">
        <v>0</v>
      </c>
      <c r="AF5" s="9" t="n">
        <v>0</v>
      </c>
    </row>
    <row r="6" customFormat="false" ht="15" hidden="false" customHeight="false" outlineLevel="0" collapsed="false">
      <c r="A6" s="9" t="n">
        <v>5</v>
      </c>
      <c r="B6" s="9" t="n">
        <v>0</v>
      </c>
      <c r="C6" s="9" t="n">
        <v>0</v>
      </c>
      <c r="D6" s="9" t="n">
        <v>0</v>
      </c>
      <c r="E6" s="9" t="n">
        <v>0</v>
      </c>
      <c r="F6" s="9" t="n">
        <v>1</v>
      </c>
      <c r="G6" s="9" t="n">
        <v>0</v>
      </c>
      <c r="H6" s="9" t="n">
        <v>0</v>
      </c>
      <c r="I6" s="9" t="n">
        <v>0</v>
      </c>
      <c r="J6" s="9" t="n">
        <v>0</v>
      </c>
      <c r="K6" s="9" t="n">
        <v>0</v>
      </c>
      <c r="L6" s="9" t="n">
        <v>1</v>
      </c>
      <c r="M6" s="9" t="n">
        <v>0</v>
      </c>
      <c r="N6" s="9" t="n">
        <v>0</v>
      </c>
      <c r="O6" s="9" t="n">
        <v>1</v>
      </c>
      <c r="P6" s="9" t="n">
        <v>0</v>
      </c>
      <c r="Q6" s="9" t="n">
        <v>0</v>
      </c>
      <c r="R6" s="9" t="n">
        <v>0</v>
      </c>
      <c r="S6" s="9" t="n">
        <v>0</v>
      </c>
      <c r="T6" s="9" t="n">
        <v>1</v>
      </c>
      <c r="U6" s="9" t="n">
        <v>0</v>
      </c>
      <c r="V6" s="9" t="n">
        <v>0</v>
      </c>
      <c r="W6" s="9" t="n">
        <v>0</v>
      </c>
      <c r="X6" s="9" t="n">
        <v>0</v>
      </c>
      <c r="Y6" s="9" t="n">
        <v>0</v>
      </c>
      <c r="Z6" s="9" t="n">
        <v>0</v>
      </c>
      <c r="AA6" s="9" t="n">
        <v>0</v>
      </c>
      <c r="AB6" s="9" t="n">
        <v>0</v>
      </c>
      <c r="AC6" s="9" t="n">
        <v>0</v>
      </c>
      <c r="AD6" s="9" t="n">
        <v>0</v>
      </c>
      <c r="AE6" s="9" t="n">
        <v>0</v>
      </c>
      <c r="AF6" s="9" t="n">
        <v>0</v>
      </c>
    </row>
    <row r="7" customFormat="false" ht="15" hidden="false" customHeight="false" outlineLevel="0" collapsed="false">
      <c r="A7" s="9" t="n">
        <v>6</v>
      </c>
      <c r="B7" s="9" t="n">
        <v>0</v>
      </c>
      <c r="C7" s="9" t="n">
        <v>0</v>
      </c>
      <c r="D7" s="9" t="n">
        <v>0</v>
      </c>
      <c r="E7" s="9" t="n">
        <v>0</v>
      </c>
      <c r="F7" s="9" t="n">
        <v>1</v>
      </c>
      <c r="G7" s="9" t="n">
        <v>0</v>
      </c>
      <c r="H7" s="9" t="n">
        <v>0</v>
      </c>
      <c r="I7" s="9" t="n">
        <v>0</v>
      </c>
      <c r="J7" s="9" t="n">
        <v>0</v>
      </c>
      <c r="K7" s="9" t="n">
        <v>0</v>
      </c>
      <c r="L7" s="9" t="n">
        <v>1</v>
      </c>
      <c r="M7" s="9" t="n">
        <v>0</v>
      </c>
      <c r="N7" s="9" t="n">
        <v>1</v>
      </c>
      <c r="O7" s="9" t="n">
        <v>0</v>
      </c>
      <c r="P7" s="9" t="n">
        <v>0</v>
      </c>
      <c r="Q7" s="9" t="n">
        <v>0</v>
      </c>
      <c r="R7" s="9" t="n">
        <v>0</v>
      </c>
      <c r="S7" s="9" t="n">
        <v>0</v>
      </c>
      <c r="T7" s="9" t="n">
        <v>1</v>
      </c>
      <c r="U7" s="9" t="n">
        <v>0</v>
      </c>
      <c r="V7" s="9" t="n">
        <v>0</v>
      </c>
      <c r="W7" s="9" t="n">
        <v>0</v>
      </c>
      <c r="X7" s="9" t="n">
        <v>0</v>
      </c>
      <c r="Y7" s="9" t="n">
        <v>0</v>
      </c>
      <c r="Z7" s="9" t="n">
        <v>0</v>
      </c>
      <c r="AA7" s="9" t="n">
        <v>0</v>
      </c>
      <c r="AB7" s="9" t="n">
        <v>0</v>
      </c>
      <c r="AC7" s="9" t="n">
        <v>0</v>
      </c>
      <c r="AD7" s="9" t="n">
        <v>0</v>
      </c>
      <c r="AE7" s="9" t="n">
        <v>0</v>
      </c>
      <c r="AF7" s="9" t="n">
        <v>0</v>
      </c>
    </row>
    <row r="8" customFormat="false" ht="15" hidden="false" customHeight="false" outlineLevel="0" collapsed="false">
      <c r="A8" s="9" t="n">
        <v>7</v>
      </c>
      <c r="B8" s="9" t="n">
        <v>0</v>
      </c>
      <c r="C8" s="9" t="n">
        <v>0</v>
      </c>
      <c r="D8" s="9" t="n">
        <v>1</v>
      </c>
      <c r="E8" s="9" t="n">
        <v>0</v>
      </c>
      <c r="F8" s="9" t="n">
        <v>0</v>
      </c>
      <c r="G8" s="9" t="n">
        <v>0</v>
      </c>
      <c r="H8" s="9" t="n">
        <v>0</v>
      </c>
      <c r="I8" s="9" t="n">
        <v>0</v>
      </c>
      <c r="J8" s="9" t="n">
        <v>0</v>
      </c>
      <c r="K8" s="9" t="n">
        <v>0</v>
      </c>
      <c r="L8" s="9" t="n">
        <v>0</v>
      </c>
      <c r="M8" s="9" t="n">
        <v>0</v>
      </c>
      <c r="N8" s="9" t="n">
        <v>1</v>
      </c>
      <c r="O8" s="9" t="n">
        <v>0</v>
      </c>
      <c r="P8" s="9" t="n">
        <v>1</v>
      </c>
      <c r="Q8" s="9" t="n">
        <v>0</v>
      </c>
      <c r="R8" s="9" t="n">
        <v>0</v>
      </c>
      <c r="S8" s="9" t="n">
        <v>0</v>
      </c>
      <c r="T8" s="9" t="n">
        <v>1</v>
      </c>
      <c r="U8" s="9" t="n">
        <v>1</v>
      </c>
      <c r="V8" s="9" t="n">
        <v>0</v>
      </c>
      <c r="W8" s="9" t="n">
        <v>0</v>
      </c>
      <c r="X8" s="9" t="n">
        <v>0</v>
      </c>
      <c r="Y8" s="9" t="n">
        <v>0</v>
      </c>
      <c r="Z8" s="9" t="n">
        <v>0</v>
      </c>
      <c r="AA8" s="9" t="n">
        <v>0</v>
      </c>
      <c r="AB8" s="9" t="n">
        <v>0</v>
      </c>
      <c r="AC8" s="9" t="n">
        <v>0</v>
      </c>
      <c r="AD8" s="9" t="n">
        <v>0</v>
      </c>
      <c r="AE8" s="9" t="n">
        <v>0</v>
      </c>
      <c r="AF8" s="9" t="n">
        <v>0</v>
      </c>
    </row>
    <row r="9" customFormat="false" ht="15" hidden="false" customHeight="false" outlineLevel="0" collapsed="false">
      <c r="A9" s="9" t="n">
        <v>8</v>
      </c>
      <c r="B9" s="9" t="n">
        <v>0</v>
      </c>
      <c r="C9" s="9" t="n">
        <v>0</v>
      </c>
      <c r="D9" s="9" t="n">
        <v>1</v>
      </c>
      <c r="E9" s="9" t="n">
        <v>0</v>
      </c>
      <c r="F9" s="9" t="n">
        <v>0</v>
      </c>
      <c r="G9" s="9" t="n">
        <v>0</v>
      </c>
      <c r="H9" s="9" t="n">
        <v>0</v>
      </c>
      <c r="I9" s="9" t="n">
        <v>0</v>
      </c>
      <c r="J9" s="9" t="n">
        <v>0</v>
      </c>
      <c r="K9" s="9" t="n">
        <v>0</v>
      </c>
      <c r="L9" s="9" t="n">
        <v>1</v>
      </c>
      <c r="M9" s="9" t="n">
        <v>0</v>
      </c>
      <c r="N9" s="9" t="n">
        <v>0</v>
      </c>
      <c r="O9" s="9" t="n">
        <v>0</v>
      </c>
      <c r="P9" s="9" t="n">
        <v>0</v>
      </c>
      <c r="Q9" s="9" t="n">
        <v>0</v>
      </c>
      <c r="R9" s="9" t="n">
        <v>0</v>
      </c>
      <c r="S9" s="9" t="n">
        <v>0</v>
      </c>
      <c r="T9" s="9" t="n">
        <v>1</v>
      </c>
      <c r="U9" s="9" t="n">
        <v>0</v>
      </c>
      <c r="V9" s="9" t="n">
        <v>0</v>
      </c>
      <c r="W9" s="9" t="n">
        <v>0</v>
      </c>
      <c r="X9" s="9" t="n">
        <v>0</v>
      </c>
      <c r="Y9" s="9" t="n">
        <v>0</v>
      </c>
      <c r="Z9" s="9" t="n">
        <v>0</v>
      </c>
      <c r="AA9" s="9" t="n">
        <v>0</v>
      </c>
      <c r="AB9" s="9" t="n">
        <v>0</v>
      </c>
      <c r="AC9" s="9" t="n">
        <v>0</v>
      </c>
      <c r="AD9" s="9" t="n">
        <v>0</v>
      </c>
      <c r="AE9" s="9" t="n">
        <v>0</v>
      </c>
      <c r="AF9" s="9" t="n">
        <v>0</v>
      </c>
    </row>
    <row r="10" customFormat="false" ht="15" hidden="false" customHeight="false" outlineLevel="0" collapsed="false">
      <c r="A10" s="9" t="n">
        <v>9</v>
      </c>
      <c r="B10" s="9" t="n">
        <v>0</v>
      </c>
      <c r="C10" s="9" t="n">
        <v>0</v>
      </c>
      <c r="D10" s="9" t="n">
        <v>0</v>
      </c>
      <c r="E10" s="9" t="n">
        <v>0</v>
      </c>
      <c r="F10" s="9" t="n">
        <v>0</v>
      </c>
      <c r="G10" s="9" t="n">
        <v>0</v>
      </c>
      <c r="H10" s="9" t="n">
        <v>1</v>
      </c>
      <c r="I10" s="9" t="n">
        <v>0</v>
      </c>
      <c r="J10" s="9" t="n">
        <v>0</v>
      </c>
      <c r="K10" s="9" t="n">
        <v>0</v>
      </c>
      <c r="L10" s="9" t="n">
        <v>1</v>
      </c>
      <c r="M10" s="9" t="n">
        <v>0</v>
      </c>
      <c r="N10" s="9" t="n">
        <v>0</v>
      </c>
      <c r="O10" s="9" t="n">
        <v>0</v>
      </c>
      <c r="P10" s="9" t="n">
        <v>0</v>
      </c>
      <c r="Q10" s="9" t="n">
        <v>0</v>
      </c>
      <c r="R10" s="9" t="n">
        <v>0</v>
      </c>
      <c r="S10" s="9" t="n">
        <v>0</v>
      </c>
      <c r="T10" s="9" t="n">
        <v>0</v>
      </c>
      <c r="U10" s="9" t="n">
        <v>1</v>
      </c>
      <c r="V10" s="9" t="n">
        <v>0</v>
      </c>
      <c r="W10" s="9" t="n">
        <v>0</v>
      </c>
      <c r="X10" s="9" t="n">
        <v>0</v>
      </c>
      <c r="Y10" s="9" t="n">
        <v>0</v>
      </c>
      <c r="Z10" s="9" t="n">
        <v>0</v>
      </c>
      <c r="AA10" s="9" t="n">
        <v>0</v>
      </c>
      <c r="AB10" s="9" t="n">
        <v>0</v>
      </c>
      <c r="AC10" s="9" t="n">
        <v>0</v>
      </c>
      <c r="AD10" s="9" t="n">
        <v>0</v>
      </c>
      <c r="AE10" s="9" t="n">
        <v>0</v>
      </c>
      <c r="AF10" s="9" t="n">
        <v>0</v>
      </c>
    </row>
    <row r="11" customFormat="false" ht="15" hidden="false" customHeight="false" outlineLevel="0" collapsed="false">
      <c r="A11" s="9" t="n">
        <v>10</v>
      </c>
      <c r="B11" s="9" t="n">
        <v>0</v>
      </c>
      <c r="C11" s="9" t="n">
        <v>0</v>
      </c>
      <c r="D11" s="9" t="n">
        <v>0</v>
      </c>
      <c r="E11" s="9" t="n">
        <v>0</v>
      </c>
      <c r="F11" s="9" t="n">
        <v>0</v>
      </c>
      <c r="G11" s="9" t="n">
        <v>0</v>
      </c>
      <c r="H11" s="9" t="n">
        <v>1</v>
      </c>
      <c r="I11" s="9" t="n">
        <v>0</v>
      </c>
      <c r="J11" s="9" t="n">
        <v>0</v>
      </c>
      <c r="K11" s="9" t="n">
        <v>0</v>
      </c>
      <c r="L11" s="9" t="n">
        <v>1</v>
      </c>
      <c r="M11" s="9" t="n">
        <v>0</v>
      </c>
      <c r="N11" s="9" t="n">
        <v>0</v>
      </c>
      <c r="O11" s="9" t="n">
        <v>0</v>
      </c>
      <c r="P11" s="9" t="n">
        <v>0</v>
      </c>
      <c r="Q11" s="9" t="n">
        <v>0</v>
      </c>
      <c r="R11" s="9" t="n">
        <v>0</v>
      </c>
      <c r="S11" s="9" t="n">
        <v>0</v>
      </c>
      <c r="T11" s="9" t="n">
        <v>1</v>
      </c>
      <c r="U11" s="9" t="n">
        <v>0</v>
      </c>
      <c r="V11" s="9" t="n">
        <v>0</v>
      </c>
      <c r="W11" s="9" t="n">
        <v>0</v>
      </c>
      <c r="X11" s="9" t="n">
        <v>0</v>
      </c>
      <c r="Y11" s="9" t="n">
        <v>0</v>
      </c>
      <c r="Z11" s="9" t="n">
        <v>0</v>
      </c>
      <c r="AA11" s="9" t="n">
        <v>0</v>
      </c>
      <c r="AB11" s="9" t="n">
        <v>0</v>
      </c>
      <c r="AC11" s="9" t="n">
        <v>0</v>
      </c>
      <c r="AD11" s="9" t="n">
        <v>0</v>
      </c>
      <c r="AE11" s="9" t="n">
        <v>0</v>
      </c>
      <c r="AF11" s="9" t="n">
        <v>0</v>
      </c>
    </row>
    <row r="12" customFormat="false" ht="15" hidden="false" customHeight="false" outlineLevel="0" collapsed="false">
      <c r="A12" s="9" t="n">
        <v>11</v>
      </c>
      <c r="B12" s="9" t="n">
        <v>0</v>
      </c>
      <c r="C12" s="9" t="n">
        <v>0</v>
      </c>
      <c r="D12" s="9" t="n">
        <v>0</v>
      </c>
      <c r="E12" s="9" t="n">
        <v>0</v>
      </c>
      <c r="F12" s="9" t="n">
        <v>1</v>
      </c>
      <c r="G12" s="9" t="n">
        <v>0</v>
      </c>
      <c r="H12" s="9" t="n">
        <v>0</v>
      </c>
      <c r="I12" s="9" t="n">
        <v>0</v>
      </c>
      <c r="J12" s="9" t="n">
        <v>0</v>
      </c>
      <c r="K12" s="9" t="n">
        <v>0</v>
      </c>
      <c r="L12" s="9" t="n">
        <v>1</v>
      </c>
      <c r="M12" s="9" t="n">
        <v>1</v>
      </c>
      <c r="N12" s="9" t="n">
        <v>0</v>
      </c>
      <c r="O12" s="9" t="n">
        <v>0</v>
      </c>
      <c r="P12" s="9" t="n">
        <v>0</v>
      </c>
      <c r="Q12" s="9" t="n">
        <v>0</v>
      </c>
      <c r="R12" s="9" t="n">
        <v>0</v>
      </c>
      <c r="S12" s="9" t="n">
        <v>0</v>
      </c>
      <c r="T12" s="9" t="n">
        <v>1</v>
      </c>
      <c r="U12" s="9" t="n">
        <v>0</v>
      </c>
      <c r="V12" s="9" t="n">
        <v>0</v>
      </c>
      <c r="W12" s="9" t="n">
        <v>0</v>
      </c>
      <c r="X12" s="9" t="n">
        <v>0</v>
      </c>
      <c r="Y12" s="9" t="n">
        <v>0</v>
      </c>
      <c r="Z12" s="9" t="n">
        <v>0</v>
      </c>
      <c r="AA12" s="9" t="n">
        <v>0</v>
      </c>
      <c r="AB12" s="9" t="n">
        <v>1</v>
      </c>
      <c r="AC12" s="9" t="n">
        <v>0</v>
      </c>
      <c r="AD12" s="9" t="n">
        <v>0</v>
      </c>
      <c r="AE12" s="9" t="n">
        <v>0</v>
      </c>
      <c r="AF12" s="9" t="n">
        <v>0</v>
      </c>
    </row>
    <row r="13" customFormat="false" ht="15" hidden="false" customHeight="false" outlineLevel="0" collapsed="false">
      <c r="A13" s="9" t="n">
        <v>12</v>
      </c>
      <c r="B13" s="9" t="n">
        <v>0</v>
      </c>
      <c r="C13" s="9" t="n">
        <v>0</v>
      </c>
      <c r="D13" s="9" t="n">
        <v>0</v>
      </c>
      <c r="E13" s="9" t="n">
        <v>0</v>
      </c>
      <c r="F13" s="9" t="n">
        <v>1</v>
      </c>
      <c r="G13" s="9" t="n">
        <v>0</v>
      </c>
      <c r="H13" s="9" t="n">
        <v>0</v>
      </c>
      <c r="I13" s="9" t="n">
        <v>0</v>
      </c>
      <c r="J13" s="9" t="n">
        <v>0</v>
      </c>
      <c r="K13" s="9" t="n">
        <v>0</v>
      </c>
      <c r="L13" s="9" t="n">
        <v>1</v>
      </c>
      <c r="M13" s="9" t="n">
        <v>0</v>
      </c>
      <c r="N13" s="9" t="n">
        <v>0</v>
      </c>
      <c r="O13" s="9" t="n">
        <v>0</v>
      </c>
      <c r="P13" s="9" t="n">
        <v>0</v>
      </c>
      <c r="Q13" s="9" t="n">
        <v>0</v>
      </c>
      <c r="R13" s="9" t="n">
        <v>0</v>
      </c>
      <c r="S13" s="9" t="n">
        <v>0</v>
      </c>
      <c r="T13" s="9" t="n">
        <v>1</v>
      </c>
      <c r="U13" s="9" t="n">
        <v>0</v>
      </c>
      <c r="V13" s="9" t="n">
        <v>0</v>
      </c>
      <c r="W13" s="9" t="n">
        <v>0</v>
      </c>
      <c r="X13" s="9" t="n">
        <v>0</v>
      </c>
      <c r="Y13" s="9" t="n">
        <v>0</v>
      </c>
      <c r="Z13" s="9" t="n">
        <v>0</v>
      </c>
      <c r="AA13" s="9" t="n">
        <v>0</v>
      </c>
      <c r="AB13" s="9" t="n">
        <v>0</v>
      </c>
      <c r="AC13" s="9" t="n">
        <v>0</v>
      </c>
      <c r="AD13" s="9" t="n">
        <v>0</v>
      </c>
      <c r="AE13" s="9" t="n">
        <v>0</v>
      </c>
      <c r="AF13" s="9" t="n">
        <v>0</v>
      </c>
    </row>
    <row r="14" customFormat="false" ht="15" hidden="false" customHeight="false" outlineLevel="0" collapsed="false">
      <c r="A14" s="9" t="n">
        <v>13</v>
      </c>
      <c r="B14" s="9" t="n">
        <v>0</v>
      </c>
      <c r="C14" s="9" t="n">
        <v>0</v>
      </c>
      <c r="D14" s="9" t="n">
        <v>0</v>
      </c>
      <c r="E14" s="9" t="n">
        <v>1</v>
      </c>
      <c r="F14" s="9" t="n">
        <v>0</v>
      </c>
      <c r="G14" s="9" t="n">
        <v>0</v>
      </c>
      <c r="H14" s="9" t="n">
        <v>0</v>
      </c>
      <c r="I14" s="9" t="n">
        <v>0</v>
      </c>
      <c r="J14" s="9" t="n">
        <v>0</v>
      </c>
      <c r="K14" s="9" t="n">
        <v>0</v>
      </c>
      <c r="L14" s="9" t="n">
        <v>1</v>
      </c>
      <c r="M14" s="9" t="n">
        <v>0</v>
      </c>
      <c r="N14" s="9" t="n">
        <v>1</v>
      </c>
      <c r="O14" s="9" t="n">
        <v>0</v>
      </c>
      <c r="P14" s="9" t="n">
        <v>0</v>
      </c>
      <c r="Q14" s="9" t="n">
        <v>0</v>
      </c>
      <c r="R14" s="9" t="n">
        <v>0</v>
      </c>
      <c r="S14" s="9" t="n">
        <v>0</v>
      </c>
      <c r="T14" s="9" t="n">
        <v>0</v>
      </c>
      <c r="U14" s="9" t="n">
        <v>0</v>
      </c>
      <c r="V14" s="9" t="n">
        <v>1</v>
      </c>
      <c r="W14" s="9" t="n">
        <v>0</v>
      </c>
      <c r="X14" s="9" t="n">
        <v>0</v>
      </c>
      <c r="Y14" s="9" t="n">
        <v>0</v>
      </c>
      <c r="Z14" s="9" t="n">
        <v>0</v>
      </c>
      <c r="AA14" s="9" t="n">
        <v>0</v>
      </c>
      <c r="AB14" s="9" t="n">
        <v>0</v>
      </c>
      <c r="AC14" s="9" t="n">
        <v>0</v>
      </c>
      <c r="AD14" s="9" t="n">
        <v>0</v>
      </c>
      <c r="AE14" s="9" t="n">
        <v>0</v>
      </c>
      <c r="AF14" s="9" t="n">
        <v>0</v>
      </c>
    </row>
    <row r="15" customFormat="false" ht="15" hidden="false" customHeight="false" outlineLevel="0" collapsed="false">
      <c r="A15" s="9" t="n">
        <v>14</v>
      </c>
      <c r="B15" s="9" t="n">
        <v>0</v>
      </c>
      <c r="C15" s="9" t="n">
        <v>0</v>
      </c>
      <c r="D15" s="9" t="n">
        <v>0</v>
      </c>
      <c r="E15" s="9" t="n">
        <v>0</v>
      </c>
      <c r="F15" s="9" t="n">
        <v>0</v>
      </c>
      <c r="G15" s="9" t="n">
        <v>1</v>
      </c>
      <c r="H15" s="9" t="n">
        <v>0</v>
      </c>
      <c r="I15" s="9" t="n">
        <v>0</v>
      </c>
      <c r="J15" s="9" t="n">
        <v>0</v>
      </c>
      <c r="K15" s="9" t="n">
        <v>0</v>
      </c>
      <c r="L15" s="9" t="n">
        <v>1</v>
      </c>
      <c r="M15" s="9" t="n">
        <v>0</v>
      </c>
      <c r="N15" s="9" t="n">
        <v>0</v>
      </c>
      <c r="O15" s="9" t="n">
        <v>0</v>
      </c>
      <c r="P15" s="9" t="n">
        <v>1</v>
      </c>
      <c r="Q15" s="9" t="n">
        <v>0</v>
      </c>
      <c r="R15" s="9" t="n">
        <v>0</v>
      </c>
      <c r="S15" s="9" t="n">
        <v>0</v>
      </c>
      <c r="T15" s="9" t="n">
        <v>1</v>
      </c>
      <c r="U15" s="9" t="n">
        <v>0</v>
      </c>
      <c r="V15" s="9" t="n">
        <v>0</v>
      </c>
      <c r="W15" s="9" t="n">
        <v>0</v>
      </c>
      <c r="X15" s="9" t="n">
        <v>0</v>
      </c>
      <c r="Y15" s="9" t="n">
        <v>0</v>
      </c>
      <c r="Z15" s="9" t="n">
        <v>0</v>
      </c>
      <c r="AA15" s="9" t="n">
        <v>0</v>
      </c>
      <c r="AB15" s="9" t="n">
        <v>0</v>
      </c>
      <c r="AC15" s="9" t="n">
        <v>0</v>
      </c>
      <c r="AD15" s="9" t="n">
        <v>0</v>
      </c>
      <c r="AE15" s="9" t="n">
        <v>0</v>
      </c>
      <c r="AF15" s="9" t="n">
        <v>0</v>
      </c>
    </row>
    <row r="16" customFormat="false" ht="15" hidden="false" customHeight="false" outlineLevel="0" collapsed="false">
      <c r="A16" s="9" t="n">
        <v>15</v>
      </c>
      <c r="B16" s="9" t="n">
        <v>0</v>
      </c>
      <c r="C16" s="9" t="n">
        <v>0</v>
      </c>
      <c r="D16" s="9" t="n">
        <v>0</v>
      </c>
      <c r="E16" s="9" t="n">
        <v>1</v>
      </c>
      <c r="F16" s="9" t="n">
        <v>0</v>
      </c>
      <c r="G16" s="9" t="n">
        <v>0</v>
      </c>
      <c r="H16" s="9" t="n">
        <v>0</v>
      </c>
      <c r="I16" s="9" t="n">
        <v>0</v>
      </c>
      <c r="J16" s="9" t="n">
        <v>0</v>
      </c>
      <c r="K16" s="9" t="n">
        <v>0</v>
      </c>
      <c r="L16" s="9" t="n">
        <v>1</v>
      </c>
      <c r="M16" s="9" t="n">
        <v>0</v>
      </c>
      <c r="N16" s="9" t="n">
        <v>0</v>
      </c>
      <c r="O16" s="9" t="n">
        <v>0</v>
      </c>
      <c r="P16" s="9" t="n">
        <v>0</v>
      </c>
      <c r="Q16" s="9" t="n">
        <v>0</v>
      </c>
      <c r="R16" s="9" t="n">
        <v>0</v>
      </c>
      <c r="S16" s="9" t="n">
        <v>0</v>
      </c>
      <c r="T16" s="9" t="n">
        <v>0</v>
      </c>
      <c r="U16" s="9" t="n">
        <v>0</v>
      </c>
      <c r="V16" s="9" t="n">
        <v>1</v>
      </c>
      <c r="W16" s="9" t="n">
        <v>0</v>
      </c>
      <c r="X16" s="9" t="n">
        <v>0</v>
      </c>
      <c r="Y16" s="9" t="n">
        <v>0</v>
      </c>
      <c r="Z16" s="9" t="n">
        <v>0</v>
      </c>
      <c r="AA16" s="9" t="n">
        <v>0</v>
      </c>
      <c r="AB16" s="9" t="n">
        <v>0</v>
      </c>
      <c r="AC16" s="9" t="n">
        <v>0</v>
      </c>
      <c r="AD16" s="9" t="n">
        <v>0</v>
      </c>
      <c r="AE16" s="9" t="n">
        <v>0</v>
      </c>
      <c r="AF16" s="9" t="n">
        <v>0</v>
      </c>
    </row>
    <row r="17" customFormat="false" ht="15" hidden="false" customHeight="false" outlineLevel="0" collapsed="false">
      <c r="A17" s="9" t="n">
        <v>16</v>
      </c>
      <c r="B17" s="9" t="n">
        <v>0</v>
      </c>
      <c r="C17" s="9" t="n">
        <v>0</v>
      </c>
      <c r="D17" s="9" t="n">
        <v>0</v>
      </c>
      <c r="E17" s="9" t="n">
        <v>1</v>
      </c>
      <c r="F17" s="9" t="n">
        <v>0</v>
      </c>
      <c r="G17" s="9" t="n">
        <v>0</v>
      </c>
      <c r="H17" s="9" t="n">
        <v>0</v>
      </c>
      <c r="I17" s="9" t="n">
        <v>0</v>
      </c>
      <c r="J17" s="9" t="n">
        <v>0</v>
      </c>
      <c r="K17" s="9" t="n">
        <v>0</v>
      </c>
      <c r="L17" s="9" t="n">
        <v>1</v>
      </c>
      <c r="M17" s="9" t="n">
        <v>0</v>
      </c>
      <c r="N17" s="9" t="n">
        <v>1</v>
      </c>
      <c r="O17" s="9" t="n">
        <v>0</v>
      </c>
      <c r="P17" s="9" t="n">
        <v>0</v>
      </c>
      <c r="Q17" s="9" t="n">
        <v>0</v>
      </c>
      <c r="R17" s="9" t="n">
        <v>0</v>
      </c>
      <c r="S17" s="9" t="n">
        <v>0</v>
      </c>
      <c r="T17" s="9" t="n">
        <v>1</v>
      </c>
      <c r="U17" s="9" t="n">
        <v>0</v>
      </c>
      <c r="V17" s="9" t="n">
        <v>0</v>
      </c>
      <c r="W17" s="9" t="n">
        <v>0</v>
      </c>
      <c r="X17" s="9" t="n">
        <v>0</v>
      </c>
      <c r="Y17" s="9" t="n">
        <v>0</v>
      </c>
      <c r="Z17" s="9" t="n">
        <v>0</v>
      </c>
      <c r="AA17" s="9" t="n">
        <v>0</v>
      </c>
      <c r="AB17" s="9" t="n">
        <v>0</v>
      </c>
      <c r="AC17" s="9" t="n">
        <v>0</v>
      </c>
      <c r="AD17" s="9" t="n">
        <v>0</v>
      </c>
      <c r="AE17" s="9" t="n">
        <v>0</v>
      </c>
      <c r="AF17" s="9" t="n">
        <v>0</v>
      </c>
    </row>
    <row r="18" customFormat="false" ht="15" hidden="false" customHeight="false" outlineLevel="0" collapsed="false">
      <c r="A18" s="9" t="n">
        <v>17</v>
      </c>
      <c r="B18" s="9" t="n">
        <v>1</v>
      </c>
      <c r="C18" s="9" t="n">
        <v>0</v>
      </c>
      <c r="D18" s="9" t="n">
        <v>0</v>
      </c>
      <c r="E18" s="9" t="n">
        <v>1</v>
      </c>
      <c r="F18" s="9" t="n">
        <v>0</v>
      </c>
      <c r="G18" s="9" t="n">
        <v>0</v>
      </c>
      <c r="H18" s="9" t="n">
        <v>0</v>
      </c>
      <c r="I18" s="9" t="n">
        <v>0</v>
      </c>
      <c r="J18" s="9" t="n">
        <v>0</v>
      </c>
      <c r="K18" s="9" t="n">
        <v>0</v>
      </c>
      <c r="L18" s="9" t="n">
        <v>1</v>
      </c>
      <c r="M18" s="9" t="n">
        <v>0</v>
      </c>
      <c r="N18" s="9" t="n">
        <v>1</v>
      </c>
      <c r="O18" s="9" t="n">
        <v>0</v>
      </c>
      <c r="P18" s="9" t="n">
        <v>0</v>
      </c>
      <c r="Q18" s="9" t="n">
        <v>0</v>
      </c>
      <c r="R18" s="9" t="n">
        <v>1</v>
      </c>
      <c r="S18" s="9" t="n">
        <v>0</v>
      </c>
      <c r="T18" s="9" t="n">
        <v>1</v>
      </c>
      <c r="U18" s="9" t="n">
        <v>1</v>
      </c>
      <c r="V18" s="9" t="n">
        <v>0</v>
      </c>
      <c r="W18" s="9" t="n">
        <v>0</v>
      </c>
      <c r="X18" s="9" t="n">
        <v>0</v>
      </c>
      <c r="Y18" s="9" t="n">
        <v>0</v>
      </c>
      <c r="Z18" s="9" t="n">
        <v>0</v>
      </c>
      <c r="AA18" s="9" t="n">
        <v>0</v>
      </c>
      <c r="AB18" s="9" t="n">
        <v>0</v>
      </c>
      <c r="AC18" s="9" t="n">
        <v>0</v>
      </c>
      <c r="AD18" s="9" t="n">
        <v>0</v>
      </c>
      <c r="AE18" s="9" t="n">
        <v>0</v>
      </c>
      <c r="AF18" s="9" t="n">
        <v>0</v>
      </c>
    </row>
    <row r="19" customFormat="false" ht="15" hidden="false" customHeight="false" outlineLevel="0" collapsed="false">
      <c r="A19" s="9" t="n">
        <v>18</v>
      </c>
      <c r="B19" s="9" t="n">
        <v>0</v>
      </c>
      <c r="C19" s="9" t="n">
        <v>0</v>
      </c>
      <c r="D19" s="9" t="n">
        <v>0</v>
      </c>
      <c r="E19" s="9" t="n">
        <v>1</v>
      </c>
      <c r="F19" s="9" t="n">
        <v>0</v>
      </c>
      <c r="G19" s="9" t="n">
        <v>0</v>
      </c>
      <c r="H19" s="9" t="n">
        <v>0</v>
      </c>
      <c r="I19" s="9" t="n">
        <v>0</v>
      </c>
      <c r="J19" s="9" t="n">
        <v>0</v>
      </c>
      <c r="K19" s="9" t="n">
        <v>0</v>
      </c>
      <c r="L19" s="9" t="n">
        <v>1</v>
      </c>
      <c r="M19" s="9" t="n">
        <v>1</v>
      </c>
      <c r="N19" s="9" t="n">
        <v>1</v>
      </c>
      <c r="O19" s="9" t="n">
        <v>0</v>
      </c>
      <c r="P19" s="9" t="n">
        <v>0</v>
      </c>
      <c r="Q19" s="9" t="n">
        <v>0</v>
      </c>
      <c r="R19" s="9" t="n">
        <v>0</v>
      </c>
      <c r="S19" s="9" t="n">
        <v>0</v>
      </c>
      <c r="T19" s="9" t="n">
        <v>1</v>
      </c>
      <c r="U19" s="9" t="n">
        <v>0</v>
      </c>
      <c r="V19" s="9" t="n">
        <v>0</v>
      </c>
      <c r="W19" s="9" t="n">
        <v>0</v>
      </c>
      <c r="X19" s="9" t="n">
        <v>0</v>
      </c>
      <c r="Y19" s="9" t="n">
        <v>0</v>
      </c>
      <c r="Z19" s="9" t="n">
        <v>0</v>
      </c>
      <c r="AA19" s="9" t="n">
        <v>0</v>
      </c>
      <c r="AB19" s="9" t="n">
        <v>1</v>
      </c>
      <c r="AC19" s="9" t="n">
        <v>0</v>
      </c>
      <c r="AD19" s="9" t="n">
        <v>0</v>
      </c>
      <c r="AE19" s="9" t="n">
        <v>0</v>
      </c>
      <c r="AF19" s="9" t="n">
        <v>0</v>
      </c>
    </row>
    <row r="20" customFormat="false" ht="15" hidden="false" customHeight="false" outlineLevel="0" collapsed="false">
      <c r="A20" s="9" t="n">
        <v>19</v>
      </c>
      <c r="B20" s="9" t="n">
        <v>0</v>
      </c>
      <c r="C20" s="9" t="n">
        <v>0</v>
      </c>
      <c r="D20" s="9" t="n">
        <v>1</v>
      </c>
      <c r="E20" s="9" t="n">
        <v>1</v>
      </c>
      <c r="F20" s="9" t="n">
        <v>0</v>
      </c>
      <c r="G20" s="9" t="n">
        <v>0</v>
      </c>
      <c r="H20" s="9" t="n">
        <v>0</v>
      </c>
      <c r="I20" s="9" t="n">
        <v>0</v>
      </c>
      <c r="J20" s="9" t="n">
        <v>0</v>
      </c>
      <c r="K20" s="9" t="n">
        <v>0</v>
      </c>
      <c r="L20" s="9" t="n">
        <v>1</v>
      </c>
      <c r="M20" s="9" t="n">
        <v>1</v>
      </c>
      <c r="N20" s="9" t="n">
        <v>1</v>
      </c>
      <c r="O20" s="9" t="n">
        <v>0</v>
      </c>
      <c r="P20" s="9" t="n">
        <v>0</v>
      </c>
      <c r="Q20" s="9" t="n">
        <v>0</v>
      </c>
      <c r="R20" s="9" t="n">
        <v>0</v>
      </c>
      <c r="S20" s="9" t="n">
        <v>0</v>
      </c>
      <c r="T20" s="9" t="n">
        <v>1</v>
      </c>
      <c r="U20" s="9" t="n">
        <v>0</v>
      </c>
      <c r="V20" s="9" t="n">
        <v>0</v>
      </c>
      <c r="W20" s="9" t="n">
        <v>0</v>
      </c>
      <c r="X20" s="9" t="n">
        <v>0</v>
      </c>
      <c r="Y20" s="9" t="n">
        <v>0</v>
      </c>
      <c r="Z20" s="9" t="n">
        <v>0</v>
      </c>
      <c r="AA20" s="9" t="n">
        <v>0</v>
      </c>
      <c r="AB20" s="9" t="n">
        <v>1</v>
      </c>
      <c r="AC20" s="9" t="n">
        <v>0</v>
      </c>
      <c r="AD20" s="9" t="n">
        <v>0</v>
      </c>
      <c r="AE20" s="9" t="n">
        <v>0</v>
      </c>
      <c r="AF20" s="9" t="n">
        <v>0</v>
      </c>
    </row>
    <row r="21" customFormat="false" ht="15" hidden="false" customHeight="false" outlineLevel="0" collapsed="false">
      <c r="A21" s="9" t="n">
        <v>20</v>
      </c>
      <c r="B21" s="9" t="n">
        <v>0</v>
      </c>
      <c r="C21" s="9" t="n">
        <v>0</v>
      </c>
      <c r="D21" s="9" t="n">
        <v>0</v>
      </c>
      <c r="E21" s="9" t="n">
        <v>0</v>
      </c>
      <c r="F21" s="9" t="n">
        <v>0</v>
      </c>
      <c r="G21" s="9" t="n">
        <v>1</v>
      </c>
      <c r="H21" s="9" t="n">
        <v>0</v>
      </c>
      <c r="I21" s="9" t="n">
        <v>0</v>
      </c>
      <c r="J21" s="9" t="n">
        <v>0</v>
      </c>
      <c r="K21" s="9" t="n">
        <v>0</v>
      </c>
      <c r="L21" s="9" t="n">
        <v>1</v>
      </c>
      <c r="M21" s="9" t="n">
        <v>0</v>
      </c>
      <c r="N21" s="9" t="n">
        <v>0</v>
      </c>
      <c r="O21" s="9" t="n">
        <v>0</v>
      </c>
      <c r="P21" s="9" t="n">
        <v>1</v>
      </c>
      <c r="Q21" s="9" t="n">
        <v>0</v>
      </c>
      <c r="R21" s="9" t="n">
        <v>0</v>
      </c>
      <c r="S21" s="9" t="n">
        <v>0</v>
      </c>
      <c r="T21" s="9" t="n">
        <v>0</v>
      </c>
      <c r="U21" s="9" t="n">
        <v>0</v>
      </c>
      <c r="V21" s="9" t="n">
        <v>1</v>
      </c>
      <c r="W21" s="9" t="n">
        <v>0</v>
      </c>
      <c r="X21" s="9" t="n">
        <v>1</v>
      </c>
      <c r="Y21" s="9" t="n">
        <v>0</v>
      </c>
      <c r="Z21" s="9" t="n">
        <v>0</v>
      </c>
      <c r="AA21" s="9" t="n">
        <v>0</v>
      </c>
      <c r="AB21" s="9" t="n">
        <v>0</v>
      </c>
      <c r="AC21" s="9" t="n">
        <v>0</v>
      </c>
      <c r="AD21" s="9" t="n">
        <v>0</v>
      </c>
      <c r="AE21" s="9" t="n">
        <v>0</v>
      </c>
      <c r="AF21" s="9" t="n">
        <v>0</v>
      </c>
    </row>
    <row r="22" customFormat="false" ht="15" hidden="false" customHeight="false" outlineLevel="0" collapsed="false">
      <c r="A22" s="9" t="n">
        <v>21</v>
      </c>
      <c r="B22" s="9" t="n">
        <v>1</v>
      </c>
      <c r="C22" s="9" t="n">
        <v>0</v>
      </c>
      <c r="D22" s="9" t="n">
        <v>1</v>
      </c>
      <c r="E22" s="9" t="n">
        <v>0</v>
      </c>
      <c r="F22" s="9" t="n">
        <v>0</v>
      </c>
      <c r="G22" s="9" t="n">
        <v>0</v>
      </c>
      <c r="H22" s="9" t="n">
        <v>0</v>
      </c>
      <c r="I22" s="9" t="n">
        <v>0</v>
      </c>
      <c r="J22" s="9" t="n">
        <v>0</v>
      </c>
      <c r="K22" s="9" t="n">
        <v>0</v>
      </c>
      <c r="L22" s="9" t="n">
        <v>1</v>
      </c>
      <c r="M22" s="9" t="n">
        <v>0</v>
      </c>
      <c r="N22" s="9" t="n">
        <v>0</v>
      </c>
      <c r="O22" s="9" t="n">
        <v>0</v>
      </c>
      <c r="P22" s="9" t="n">
        <v>0</v>
      </c>
      <c r="Q22" s="9" t="n">
        <v>0</v>
      </c>
      <c r="R22" s="9" t="n">
        <v>0</v>
      </c>
      <c r="S22" s="9" t="n">
        <v>0</v>
      </c>
      <c r="T22" s="9" t="n">
        <v>1</v>
      </c>
      <c r="U22" s="9" t="n">
        <v>0</v>
      </c>
      <c r="V22" s="9" t="n">
        <v>0</v>
      </c>
      <c r="W22" s="9" t="n">
        <v>0</v>
      </c>
      <c r="X22" s="9" t="n">
        <v>0</v>
      </c>
      <c r="Y22" s="9" t="n">
        <v>0</v>
      </c>
      <c r="Z22" s="9" t="n">
        <v>0</v>
      </c>
      <c r="AA22" s="9" t="n">
        <v>0</v>
      </c>
      <c r="AB22" s="9" t="n">
        <v>0</v>
      </c>
      <c r="AC22" s="9" t="n">
        <v>0</v>
      </c>
      <c r="AD22" s="9" t="n">
        <v>0</v>
      </c>
      <c r="AE22" s="9" t="n">
        <v>0</v>
      </c>
      <c r="AF22" s="9" t="n">
        <v>0</v>
      </c>
    </row>
    <row r="23" customFormat="false" ht="15" hidden="false" customHeight="false" outlineLevel="0" collapsed="false">
      <c r="A23" s="9" t="n">
        <v>22</v>
      </c>
      <c r="B23" s="9" t="n">
        <v>1</v>
      </c>
      <c r="C23" s="9" t="n">
        <v>0</v>
      </c>
      <c r="D23" s="9" t="n">
        <v>0</v>
      </c>
      <c r="E23" s="9" t="n">
        <v>0</v>
      </c>
      <c r="F23" s="9" t="n">
        <v>0</v>
      </c>
      <c r="G23" s="9" t="n">
        <v>1</v>
      </c>
      <c r="H23" s="9" t="n">
        <v>0</v>
      </c>
      <c r="I23" s="9" t="n">
        <v>0</v>
      </c>
      <c r="J23" s="9" t="n">
        <v>0</v>
      </c>
      <c r="K23" s="9" t="n">
        <v>0</v>
      </c>
      <c r="L23" s="9" t="n">
        <v>1</v>
      </c>
      <c r="M23" s="9" t="n">
        <v>0</v>
      </c>
      <c r="N23" s="9" t="n">
        <v>0</v>
      </c>
      <c r="O23" s="9" t="n">
        <v>0</v>
      </c>
      <c r="P23" s="9" t="n">
        <v>1</v>
      </c>
      <c r="Q23" s="9" t="n">
        <v>0</v>
      </c>
      <c r="R23" s="9" t="n">
        <v>0</v>
      </c>
      <c r="S23" s="9" t="n">
        <v>0</v>
      </c>
      <c r="T23" s="9" t="n">
        <v>0</v>
      </c>
      <c r="U23" s="9" t="n">
        <v>0</v>
      </c>
      <c r="V23" s="9" t="n">
        <v>0</v>
      </c>
      <c r="W23" s="9" t="n">
        <v>1</v>
      </c>
      <c r="X23" s="9" t="n">
        <v>0</v>
      </c>
      <c r="Y23" s="9" t="n">
        <v>0</v>
      </c>
      <c r="Z23" s="9" t="n">
        <v>0</v>
      </c>
      <c r="AA23" s="9" t="n">
        <v>0</v>
      </c>
      <c r="AB23" s="9" t="n">
        <v>0</v>
      </c>
      <c r="AC23" s="9" t="n">
        <v>0</v>
      </c>
      <c r="AD23" s="9" t="n">
        <v>0</v>
      </c>
      <c r="AE23" s="9" t="n">
        <v>0</v>
      </c>
      <c r="AF23" s="9" t="n">
        <v>0</v>
      </c>
    </row>
    <row r="24" customFormat="false" ht="15" hidden="false" customHeight="false" outlineLevel="0" collapsed="false">
      <c r="A24" s="9" t="n">
        <v>23</v>
      </c>
      <c r="B24" s="9" t="n">
        <v>1</v>
      </c>
      <c r="C24" s="9" t="n">
        <v>0</v>
      </c>
      <c r="D24" s="9" t="n">
        <v>0</v>
      </c>
      <c r="E24" s="9" t="n">
        <v>0</v>
      </c>
      <c r="F24" s="9" t="n">
        <v>0</v>
      </c>
      <c r="G24" s="9" t="n">
        <v>1</v>
      </c>
      <c r="H24" s="9" t="n">
        <v>0</v>
      </c>
      <c r="I24" s="9" t="n">
        <v>0</v>
      </c>
      <c r="J24" s="9" t="n">
        <v>0</v>
      </c>
      <c r="K24" s="9" t="n">
        <v>0</v>
      </c>
      <c r="L24" s="9" t="n">
        <v>0</v>
      </c>
      <c r="M24" s="9" t="n">
        <v>0</v>
      </c>
      <c r="N24" s="9" t="n">
        <v>0</v>
      </c>
      <c r="O24" s="9" t="n">
        <v>0</v>
      </c>
      <c r="P24" s="9" t="n">
        <v>0</v>
      </c>
      <c r="Q24" s="9" t="n">
        <v>0</v>
      </c>
      <c r="R24" s="9" t="n">
        <v>0</v>
      </c>
      <c r="S24" s="9" t="n">
        <v>1</v>
      </c>
      <c r="T24" s="9" t="n">
        <v>0</v>
      </c>
      <c r="U24" s="9" t="n">
        <v>0</v>
      </c>
      <c r="V24" s="9" t="n">
        <v>1</v>
      </c>
      <c r="W24" s="9" t="n">
        <v>0</v>
      </c>
      <c r="X24" s="9" t="n">
        <v>1</v>
      </c>
      <c r="Y24" s="9" t="n">
        <v>0</v>
      </c>
      <c r="Z24" s="9" t="n">
        <v>0</v>
      </c>
      <c r="AA24" s="9" t="n">
        <v>1</v>
      </c>
      <c r="AB24" s="9" t="n">
        <v>0</v>
      </c>
      <c r="AC24" s="9" t="n">
        <v>0</v>
      </c>
      <c r="AD24" s="9" t="n">
        <v>0</v>
      </c>
      <c r="AE24" s="9" t="n">
        <v>0</v>
      </c>
      <c r="AF24" s="9" t="n">
        <v>0</v>
      </c>
    </row>
    <row r="25" customFormat="false" ht="15" hidden="false" customHeight="false" outlineLevel="0" collapsed="false">
      <c r="A25" s="9" t="n">
        <v>24</v>
      </c>
      <c r="B25" s="9" t="n">
        <v>0</v>
      </c>
      <c r="C25" s="9" t="n">
        <v>0</v>
      </c>
      <c r="D25" s="9" t="n">
        <v>0</v>
      </c>
      <c r="E25" s="9" t="n">
        <v>0</v>
      </c>
      <c r="F25" s="9" t="n">
        <v>0</v>
      </c>
      <c r="G25" s="9" t="n">
        <v>0</v>
      </c>
      <c r="H25" s="9" t="n">
        <v>0</v>
      </c>
      <c r="I25" s="9" t="n">
        <v>0</v>
      </c>
      <c r="J25" s="9" t="n">
        <v>1</v>
      </c>
      <c r="K25" s="9" t="n">
        <v>0</v>
      </c>
      <c r="L25" s="9" t="n">
        <v>0</v>
      </c>
      <c r="M25" s="9" t="n">
        <v>0</v>
      </c>
      <c r="N25" s="9" t="n">
        <v>0</v>
      </c>
      <c r="O25" s="9" t="n">
        <v>0</v>
      </c>
      <c r="P25" s="9" t="n">
        <v>0</v>
      </c>
      <c r="Q25" s="9" t="n">
        <v>0</v>
      </c>
      <c r="R25" s="9" t="n">
        <v>0</v>
      </c>
      <c r="S25" s="9" t="n">
        <v>1</v>
      </c>
      <c r="T25" s="9" t="n">
        <v>0</v>
      </c>
      <c r="U25" s="9" t="n">
        <v>0</v>
      </c>
      <c r="V25" s="9" t="n">
        <v>0</v>
      </c>
      <c r="W25" s="9" t="n">
        <v>0</v>
      </c>
      <c r="X25" s="9" t="n">
        <v>0</v>
      </c>
      <c r="Y25" s="9" t="n">
        <v>0</v>
      </c>
      <c r="Z25" s="9" t="n">
        <v>0</v>
      </c>
      <c r="AA25" s="9" t="n">
        <v>0</v>
      </c>
      <c r="AB25" s="9" t="n">
        <v>0</v>
      </c>
      <c r="AC25" s="9" t="n">
        <v>0</v>
      </c>
      <c r="AD25" s="9" t="n">
        <v>1</v>
      </c>
      <c r="AE25" s="9" t="n">
        <v>0</v>
      </c>
      <c r="AF25" s="9" t="n">
        <v>0</v>
      </c>
    </row>
    <row r="26" customFormat="false" ht="15" hidden="false" customHeight="false" outlineLevel="0" collapsed="false">
      <c r="A26" s="9" t="n">
        <v>25</v>
      </c>
      <c r="B26" s="9" t="n">
        <v>1</v>
      </c>
      <c r="C26" s="9" t="n">
        <v>0</v>
      </c>
      <c r="D26" s="9" t="n">
        <v>0</v>
      </c>
      <c r="E26" s="9" t="n">
        <v>1</v>
      </c>
      <c r="F26" s="9" t="n">
        <v>0</v>
      </c>
      <c r="G26" s="9" t="n">
        <v>0</v>
      </c>
      <c r="H26" s="9" t="n">
        <v>0</v>
      </c>
      <c r="I26" s="9" t="n">
        <v>0</v>
      </c>
      <c r="J26" s="9" t="n">
        <v>0</v>
      </c>
      <c r="K26" s="9" t="n">
        <v>0</v>
      </c>
      <c r="L26" s="9" t="n">
        <v>1</v>
      </c>
      <c r="M26" s="9" t="n">
        <v>0</v>
      </c>
      <c r="N26" s="9" t="n">
        <v>1</v>
      </c>
      <c r="O26" s="9" t="n">
        <v>1</v>
      </c>
      <c r="P26" s="9" t="n">
        <v>0</v>
      </c>
      <c r="Q26" s="9" t="n">
        <v>0</v>
      </c>
      <c r="R26" s="9" t="n">
        <v>0</v>
      </c>
      <c r="S26" s="9" t="n">
        <v>0</v>
      </c>
      <c r="T26" s="9" t="n">
        <v>1</v>
      </c>
      <c r="U26" s="9" t="n">
        <v>0</v>
      </c>
      <c r="V26" s="9" t="n">
        <v>0</v>
      </c>
      <c r="W26" s="9" t="n">
        <v>0</v>
      </c>
      <c r="X26" s="9" t="n">
        <v>0</v>
      </c>
      <c r="Y26" s="9" t="n">
        <v>0</v>
      </c>
      <c r="Z26" s="9" t="n">
        <v>0</v>
      </c>
      <c r="AA26" s="9" t="n">
        <v>0</v>
      </c>
      <c r="AB26" s="9" t="n">
        <v>0</v>
      </c>
      <c r="AC26" s="9" t="n">
        <v>0</v>
      </c>
      <c r="AD26" s="9" t="n">
        <v>0</v>
      </c>
      <c r="AE26" s="9" t="n">
        <v>0</v>
      </c>
      <c r="AF26" s="9" t="n">
        <v>0</v>
      </c>
    </row>
    <row r="27" customFormat="false" ht="15" hidden="false" customHeight="false" outlineLevel="0" collapsed="false">
      <c r="A27" s="9" t="n">
        <v>26</v>
      </c>
      <c r="B27" s="9" t="n">
        <v>0</v>
      </c>
      <c r="C27" s="9" t="n">
        <v>1</v>
      </c>
      <c r="D27" s="9" t="n">
        <v>1</v>
      </c>
      <c r="E27" s="9" t="n">
        <v>0</v>
      </c>
      <c r="F27" s="9" t="n">
        <v>0</v>
      </c>
      <c r="G27" s="9" t="n">
        <v>0</v>
      </c>
      <c r="H27" s="9" t="n">
        <v>0</v>
      </c>
      <c r="I27" s="9" t="n">
        <v>0</v>
      </c>
      <c r="J27" s="9" t="n">
        <v>0</v>
      </c>
      <c r="K27" s="9" t="n">
        <v>0</v>
      </c>
      <c r="L27" s="9" t="n">
        <v>1</v>
      </c>
      <c r="M27" s="9" t="n">
        <v>0</v>
      </c>
      <c r="N27" s="9" t="n">
        <v>0</v>
      </c>
      <c r="O27" s="9" t="n">
        <v>0</v>
      </c>
      <c r="P27" s="9" t="n">
        <v>0</v>
      </c>
      <c r="Q27" s="9" t="n">
        <v>0</v>
      </c>
      <c r="R27" s="9" t="n">
        <v>0</v>
      </c>
      <c r="S27" s="9" t="n">
        <v>0</v>
      </c>
      <c r="T27" s="9" t="n">
        <v>1</v>
      </c>
      <c r="U27" s="9" t="n">
        <v>1</v>
      </c>
      <c r="V27" s="9" t="n">
        <v>1</v>
      </c>
      <c r="W27" s="9" t="n">
        <v>1</v>
      </c>
      <c r="X27" s="9" t="n">
        <v>0</v>
      </c>
      <c r="Y27" s="9" t="n">
        <v>0</v>
      </c>
      <c r="Z27" s="9" t="n">
        <v>0</v>
      </c>
      <c r="AA27" s="9" t="n">
        <v>0</v>
      </c>
      <c r="AB27" s="9" t="n">
        <v>0</v>
      </c>
      <c r="AC27" s="9" t="n">
        <v>0</v>
      </c>
      <c r="AD27" s="9" t="n">
        <v>0</v>
      </c>
      <c r="AE27" s="9" t="n">
        <v>0</v>
      </c>
      <c r="AF27" s="9" t="n">
        <v>0</v>
      </c>
    </row>
    <row r="28" customFormat="false" ht="15" hidden="false" customHeight="false" outlineLevel="0" collapsed="false">
      <c r="A28" s="9" t="n">
        <v>27</v>
      </c>
      <c r="B28" s="9" t="n">
        <v>1</v>
      </c>
      <c r="C28" s="9" t="n">
        <v>0</v>
      </c>
      <c r="D28" s="9" t="n">
        <v>0</v>
      </c>
      <c r="E28" s="9" t="n">
        <v>1</v>
      </c>
      <c r="F28" s="9" t="n">
        <v>0</v>
      </c>
      <c r="G28" s="9" t="n">
        <v>0</v>
      </c>
      <c r="H28" s="9" t="n">
        <v>0</v>
      </c>
      <c r="I28" s="9" t="n">
        <v>0</v>
      </c>
      <c r="J28" s="9" t="n">
        <v>0</v>
      </c>
      <c r="K28" s="9" t="n">
        <v>0</v>
      </c>
      <c r="L28" s="9" t="n">
        <v>1</v>
      </c>
      <c r="M28" s="9" t="n">
        <v>0</v>
      </c>
      <c r="N28" s="9" t="n">
        <v>1</v>
      </c>
      <c r="O28" s="9" t="n">
        <v>0</v>
      </c>
      <c r="P28" s="9" t="n">
        <v>0</v>
      </c>
      <c r="Q28" s="9" t="n">
        <v>0</v>
      </c>
      <c r="R28" s="9" t="n">
        <v>0</v>
      </c>
      <c r="S28" s="9" t="n">
        <v>0</v>
      </c>
      <c r="T28" s="9" t="n">
        <v>1</v>
      </c>
      <c r="U28" s="9" t="n">
        <v>1</v>
      </c>
      <c r="V28" s="9" t="n">
        <v>0</v>
      </c>
      <c r="W28" s="9" t="n">
        <v>0</v>
      </c>
      <c r="X28" s="9" t="n">
        <v>0</v>
      </c>
      <c r="Y28" s="9" t="n">
        <v>0</v>
      </c>
      <c r="Z28" s="9" t="n">
        <v>0</v>
      </c>
      <c r="AA28" s="9" t="n">
        <v>0</v>
      </c>
      <c r="AB28" s="9" t="n">
        <v>0</v>
      </c>
      <c r="AC28" s="9" t="n">
        <v>0</v>
      </c>
      <c r="AD28" s="9" t="n">
        <v>0</v>
      </c>
      <c r="AE28" s="9" t="n">
        <v>0</v>
      </c>
      <c r="AF28" s="9" t="n">
        <v>0</v>
      </c>
    </row>
    <row r="29" customFormat="false" ht="15" hidden="false" customHeight="false" outlineLevel="0" collapsed="false">
      <c r="A29" s="9" t="n">
        <v>28</v>
      </c>
      <c r="B29" s="9" t="n">
        <v>0</v>
      </c>
      <c r="C29" s="9" t="n">
        <v>0</v>
      </c>
      <c r="D29" s="9" t="n">
        <v>0</v>
      </c>
      <c r="E29" s="9" t="n">
        <v>0</v>
      </c>
      <c r="F29" s="9" t="n">
        <v>0</v>
      </c>
      <c r="G29" s="9" t="n">
        <v>0</v>
      </c>
      <c r="H29" s="9" t="n">
        <v>1</v>
      </c>
      <c r="I29" s="9" t="n">
        <v>0</v>
      </c>
      <c r="J29" s="9" t="n">
        <v>0</v>
      </c>
      <c r="K29" s="9" t="n">
        <v>0</v>
      </c>
      <c r="L29" s="9" t="n">
        <v>1</v>
      </c>
      <c r="M29" s="9" t="n">
        <v>1</v>
      </c>
      <c r="N29" s="9" t="n">
        <v>0</v>
      </c>
      <c r="O29" s="9" t="n">
        <v>0</v>
      </c>
      <c r="P29" s="9" t="n">
        <v>0</v>
      </c>
      <c r="Q29" s="9" t="n">
        <v>0</v>
      </c>
      <c r="R29" s="9" t="n">
        <v>0</v>
      </c>
      <c r="S29" s="9" t="n">
        <v>0</v>
      </c>
      <c r="T29" s="9" t="n">
        <v>1</v>
      </c>
      <c r="U29" s="9" t="n">
        <v>0</v>
      </c>
      <c r="V29" s="9" t="n">
        <v>0</v>
      </c>
      <c r="W29" s="9" t="n">
        <v>0</v>
      </c>
      <c r="X29" s="9" t="n">
        <v>0</v>
      </c>
      <c r="Y29" s="9" t="n">
        <v>0</v>
      </c>
      <c r="Z29" s="9" t="n">
        <v>0</v>
      </c>
      <c r="AA29" s="9" t="n">
        <v>0</v>
      </c>
      <c r="AB29" s="9" t="n">
        <v>0</v>
      </c>
      <c r="AC29" s="9" t="n">
        <v>0</v>
      </c>
      <c r="AD29" s="9" t="n">
        <v>0</v>
      </c>
      <c r="AE29" s="9" t="n">
        <v>0</v>
      </c>
      <c r="AF29" s="9" t="n">
        <v>0</v>
      </c>
    </row>
    <row r="30" customFormat="false" ht="15" hidden="false" customHeight="false" outlineLevel="0" collapsed="false">
      <c r="A30" s="9" t="n">
        <v>29</v>
      </c>
      <c r="B30" s="9" t="n">
        <v>1</v>
      </c>
      <c r="C30" s="9" t="n">
        <v>0</v>
      </c>
      <c r="D30" s="9" t="n">
        <v>0</v>
      </c>
      <c r="E30" s="9" t="n">
        <v>0</v>
      </c>
      <c r="F30" s="9" t="n">
        <v>0</v>
      </c>
      <c r="G30" s="9" t="n">
        <v>1</v>
      </c>
      <c r="H30" s="9" t="n">
        <v>0</v>
      </c>
      <c r="I30" s="9" t="n">
        <v>0</v>
      </c>
      <c r="J30" s="9" t="n">
        <v>0</v>
      </c>
      <c r="K30" s="9" t="n">
        <v>0</v>
      </c>
      <c r="L30" s="9" t="n">
        <v>0</v>
      </c>
      <c r="M30" s="9" t="n">
        <v>0</v>
      </c>
      <c r="N30" s="9" t="n">
        <v>0</v>
      </c>
      <c r="O30" s="9" t="n">
        <v>0</v>
      </c>
      <c r="P30" s="9" t="n">
        <v>0</v>
      </c>
      <c r="Q30" s="9" t="n">
        <v>0</v>
      </c>
      <c r="R30" s="9" t="n">
        <v>0</v>
      </c>
      <c r="S30" s="9" t="n">
        <v>1</v>
      </c>
      <c r="T30" s="9" t="n">
        <v>0</v>
      </c>
      <c r="U30" s="9" t="n">
        <v>0</v>
      </c>
      <c r="V30" s="9" t="n">
        <v>0</v>
      </c>
      <c r="W30" s="9" t="n">
        <v>1</v>
      </c>
      <c r="X30" s="9" t="n">
        <v>0</v>
      </c>
      <c r="Y30" s="9" t="n">
        <v>0</v>
      </c>
      <c r="Z30" s="9" t="n">
        <v>0</v>
      </c>
      <c r="AA30" s="9" t="n">
        <v>0</v>
      </c>
      <c r="AB30" s="9" t="n">
        <v>0</v>
      </c>
      <c r="AC30" s="9" t="n">
        <v>0</v>
      </c>
      <c r="AD30" s="9" t="n">
        <v>0</v>
      </c>
      <c r="AE30" s="9" t="n">
        <v>0</v>
      </c>
      <c r="AF30" s="9" t="n">
        <v>0</v>
      </c>
    </row>
    <row r="31" customFormat="false" ht="15" hidden="false" customHeight="false" outlineLevel="0" collapsed="false">
      <c r="A31" s="9" t="n">
        <v>30</v>
      </c>
      <c r="B31" s="9" t="n">
        <v>0</v>
      </c>
      <c r="C31" s="9" t="n">
        <v>0</v>
      </c>
      <c r="D31" s="9" t="n">
        <v>0</v>
      </c>
      <c r="E31" s="9" t="n">
        <v>1</v>
      </c>
      <c r="F31" s="9" t="n">
        <v>0</v>
      </c>
      <c r="G31" s="9" t="n">
        <v>0</v>
      </c>
      <c r="H31" s="9" t="n">
        <v>0</v>
      </c>
      <c r="I31" s="9" t="n">
        <v>1</v>
      </c>
      <c r="J31" s="9" t="n">
        <v>0</v>
      </c>
      <c r="K31" s="9" t="n">
        <v>0</v>
      </c>
      <c r="L31" s="9" t="n">
        <v>1</v>
      </c>
      <c r="M31" s="9" t="n">
        <v>0</v>
      </c>
      <c r="N31" s="9" t="n">
        <v>1</v>
      </c>
      <c r="O31" s="9" t="n">
        <v>0</v>
      </c>
      <c r="P31" s="9" t="n">
        <v>0</v>
      </c>
      <c r="Q31" s="9" t="n">
        <v>0</v>
      </c>
      <c r="R31" s="9" t="n">
        <v>0</v>
      </c>
      <c r="S31" s="9" t="n">
        <v>0</v>
      </c>
      <c r="T31" s="9" t="n">
        <v>0</v>
      </c>
      <c r="U31" s="9" t="n">
        <v>1</v>
      </c>
      <c r="V31" s="9" t="n">
        <v>0</v>
      </c>
      <c r="W31" s="9" t="n">
        <v>0</v>
      </c>
      <c r="X31" s="9" t="n">
        <v>0</v>
      </c>
      <c r="Y31" s="9" t="n">
        <v>0</v>
      </c>
      <c r="Z31" s="9" t="n">
        <v>0</v>
      </c>
      <c r="AA31" s="9" t="n">
        <v>0</v>
      </c>
      <c r="AB31" s="9" t="n">
        <v>0</v>
      </c>
      <c r="AC31" s="9" t="n">
        <v>0</v>
      </c>
      <c r="AD31" s="9" t="n">
        <v>0</v>
      </c>
      <c r="AE31" s="9" t="n">
        <v>0</v>
      </c>
      <c r="AF31" s="9" t="n">
        <v>0</v>
      </c>
    </row>
    <row r="32" customFormat="false" ht="15" hidden="false" customHeight="false" outlineLevel="0" collapsed="false">
      <c r="A32" s="9" t="n">
        <v>31</v>
      </c>
      <c r="B32" s="9" t="n">
        <v>0</v>
      </c>
      <c r="C32" s="9" t="n">
        <v>0</v>
      </c>
      <c r="D32" s="9" t="n">
        <v>0</v>
      </c>
      <c r="E32" s="9" t="n">
        <v>0</v>
      </c>
      <c r="F32" s="9" t="n">
        <v>0</v>
      </c>
      <c r="G32" s="9" t="n">
        <v>0</v>
      </c>
      <c r="H32" s="9" t="n">
        <v>1</v>
      </c>
      <c r="I32" s="9" t="n">
        <v>0</v>
      </c>
      <c r="J32" s="9" t="n">
        <v>0</v>
      </c>
      <c r="K32" s="9" t="n">
        <v>0</v>
      </c>
      <c r="L32" s="9" t="n">
        <v>1</v>
      </c>
      <c r="M32" s="9" t="n">
        <v>0</v>
      </c>
      <c r="N32" s="9" t="n">
        <v>0</v>
      </c>
      <c r="O32" s="9" t="n">
        <v>0</v>
      </c>
      <c r="P32" s="9" t="n">
        <v>1</v>
      </c>
      <c r="Q32" s="9" t="n">
        <v>0</v>
      </c>
      <c r="R32" s="9" t="n">
        <v>0</v>
      </c>
      <c r="S32" s="9" t="n">
        <v>0</v>
      </c>
      <c r="T32" s="9" t="n">
        <v>0</v>
      </c>
      <c r="U32" s="9" t="n">
        <v>0</v>
      </c>
      <c r="V32" s="9" t="n">
        <v>0</v>
      </c>
      <c r="W32" s="9" t="n">
        <v>0</v>
      </c>
      <c r="X32" s="9" t="n">
        <v>0</v>
      </c>
      <c r="Y32" s="9" t="n">
        <v>0</v>
      </c>
      <c r="Z32" s="9" t="n">
        <v>0</v>
      </c>
      <c r="AA32" s="9" t="n">
        <v>1</v>
      </c>
      <c r="AB32" s="9" t="n">
        <v>0</v>
      </c>
      <c r="AC32" s="9" t="n">
        <v>0</v>
      </c>
      <c r="AD32" s="9" t="n">
        <v>0</v>
      </c>
      <c r="AE32" s="9" t="n">
        <v>0</v>
      </c>
      <c r="AF32" s="9" t="n">
        <v>0</v>
      </c>
    </row>
    <row r="33" customFormat="false" ht="15" hidden="false" customHeight="false" outlineLevel="0" collapsed="false">
      <c r="A33" s="9" t="n">
        <v>32</v>
      </c>
      <c r="B33" s="9" t="n">
        <v>0</v>
      </c>
      <c r="C33" s="9" t="n">
        <v>0</v>
      </c>
      <c r="D33" s="9" t="n">
        <v>0</v>
      </c>
      <c r="E33" s="9" t="n">
        <v>0</v>
      </c>
      <c r="F33" s="9" t="n">
        <v>0</v>
      </c>
      <c r="G33" s="9" t="n">
        <v>0</v>
      </c>
      <c r="H33" s="9" t="n">
        <v>0</v>
      </c>
      <c r="I33" s="9" t="n">
        <v>0</v>
      </c>
      <c r="J33" s="9" t="n">
        <v>1</v>
      </c>
      <c r="K33" s="9" t="n">
        <v>0</v>
      </c>
      <c r="L33" s="9" t="n">
        <v>1</v>
      </c>
      <c r="M33" s="9" t="n">
        <v>0</v>
      </c>
      <c r="N33" s="9" t="n">
        <v>0</v>
      </c>
      <c r="O33" s="9" t="n">
        <v>0</v>
      </c>
      <c r="P33" s="9" t="n">
        <v>0</v>
      </c>
      <c r="Q33" s="9" t="n">
        <v>0</v>
      </c>
      <c r="R33" s="9" t="n">
        <v>0</v>
      </c>
      <c r="S33" s="9" t="n">
        <v>0</v>
      </c>
      <c r="T33" s="9" t="n">
        <v>1</v>
      </c>
      <c r="U33" s="9" t="n">
        <v>0</v>
      </c>
      <c r="V33" s="9" t="n">
        <v>0</v>
      </c>
      <c r="W33" s="9" t="n">
        <v>0</v>
      </c>
      <c r="X33" s="9" t="n">
        <v>0</v>
      </c>
      <c r="Y33" s="9" t="n">
        <v>0</v>
      </c>
      <c r="Z33" s="9" t="n">
        <v>0</v>
      </c>
      <c r="AA33" s="9" t="n">
        <v>0</v>
      </c>
      <c r="AB33" s="9" t="n">
        <v>0</v>
      </c>
      <c r="AC33" s="9" t="n">
        <v>0</v>
      </c>
      <c r="AD33" s="9" t="n">
        <v>0</v>
      </c>
      <c r="AE33" s="9" t="n">
        <v>0</v>
      </c>
      <c r="AF33" s="9" t="n">
        <v>0</v>
      </c>
    </row>
    <row r="34" customFormat="false" ht="15" hidden="false" customHeight="false" outlineLevel="0" collapsed="false">
      <c r="A34" s="9" t="n">
        <v>33</v>
      </c>
      <c r="B34" s="9" t="n">
        <v>0</v>
      </c>
      <c r="C34" s="9" t="n">
        <v>0</v>
      </c>
      <c r="D34" s="9" t="n">
        <v>0</v>
      </c>
      <c r="E34" s="9" t="n">
        <v>0</v>
      </c>
      <c r="F34" s="9" t="n">
        <v>0</v>
      </c>
      <c r="G34" s="9" t="n">
        <v>0</v>
      </c>
      <c r="H34" s="9" t="n">
        <v>0</v>
      </c>
      <c r="I34" s="9" t="n">
        <v>0</v>
      </c>
      <c r="J34" s="9" t="n">
        <v>0</v>
      </c>
      <c r="K34" s="9" t="n">
        <v>1</v>
      </c>
      <c r="L34" s="9" t="n">
        <v>1</v>
      </c>
      <c r="M34" s="9" t="n">
        <v>0</v>
      </c>
      <c r="N34" s="9" t="n">
        <v>0</v>
      </c>
      <c r="O34" s="9" t="n">
        <v>0</v>
      </c>
      <c r="P34" s="9" t="n">
        <v>0</v>
      </c>
      <c r="Q34" s="9" t="n">
        <v>1</v>
      </c>
      <c r="R34" s="9" t="n">
        <v>0</v>
      </c>
      <c r="S34" s="9" t="n">
        <v>0</v>
      </c>
      <c r="T34" s="9" t="n">
        <v>0</v>
      </c>
      <c r="U34" s="9" t="n">
        <v>0</v>
      </c>
      <c r="V34" s="9" t="n">
        <v>0</v>
      </c>
      <c r="W34" s="9" t="n">
        <v>0</v>
      </c>
      <c r="X34" s="9" t="n">
        <v>0</v>
      </c>
      <c r="Y34" s="9" t="n">
        <v>0</v>
      </c>
      <c r="Z34" s="9" t="n">
        <v>1</v>
      </c>
      <c r="AA34" s="9" t="n">
        <v>0</v>
      </c>
      <c r="AB34" s="9" t="n">
        <v>0</v>
      </c>
      <c r="AC34" s="9" t="n">
        <v>0</v>
      </c>
      <c r="AD34" s="9" t="n">
        <v>0</v>
      </c>
      <c r="AE34" s="9" t="n">
        <v>0</v>
      </c>
      <c r="AF34" s="9" t="n">
        <v>0</v>
      </c>
    </row>
    <row r="35" customFormat="false" ht="15" hidden="false" customHeight="false" outlineLevel="0" collapsed="false">
      <c r="A35" s="9" t="n">
        <v>34</v>
      </c>
      <c r="B35" s="9" t="n">
        <v>0</v>
      </c>
      <c r="C35" s="9" t="n">
        <v>0</v>
      </c>
      <c r="D35" s="9" t="n">
        <v>0</v>
      </c>
      <c r="E35" s="9" t="n">
        <v>0</v>
      </c>
      <c r="F35" s="9" t="n">
        <v>0</v>
      </c>
      <c r="G35" s="9" t="n">
        <v>0</v>
      </c>
      <c r="H35" s="9" t="n">
        <v>1</v>
      </c>
      <c r="I35" s="9" t="n">
        <v>0</v>
      </c>
      <c r="J35" s="9" t="n">
        <v>0</v>
      </c>
      <c r="K35" s="9" t="n">
        <v>0</v>
      </c>
      <c r="L35" s="9" t="n">
        <v>0</v>
      </c>
      <c r="M35" s="9" t="n">
        <v>0</v>
      </c>
      <c r="N35" s="9" t="n">
        <v>1</v>
      </c>
      <c r="O35" s="9" t="n">
        <v>0</v>
      </c>
      <c r="P35" s="9" t="n">
        <v>0</v>
      </c>
      <c r="Q35" s="9" t="n">
        <v>0</v>
      </c>
      <c r="R35" s="9" t="n">
        <v>0</v>
      </c>
      <c r="S35" s="9" t="n">
        <v>0</v>
      </c>
      <c r="T35" s="9" t="n">
        <v>1</v>
      </c>
      <c r="U35" s="9" t="n">
        <v>0</v>
      </c>
      <c r="V35" s="9" t="n">
        <v>0</v>
      </c>
      <c r="W35" s="9" t="n">
        <v>0</v>
      </c>
      <c r="X35" s="9" t="n">
        <v>0</v>
      </c>
      <c r="Y35" s="9" t="n">
        <v>0</v>
      </c>
      <c r="Z35" s="9" t="n">
        <v>0</v>
      </c>
      <c r="AA35" s="9" t="n">
        <v>0</v>
      </c>
      <c r="AB35" s="9" t="n">
        <v>0</v>
      </c>
      <c r="AC35" s="9" t="n">
        <v>0</v>
      </c>
      <c r="AD35" s="9" t="n">
        <v>0</v>
      </c>
      <c r="AE35" s="9" t="n">
        <v>0</v>
      </c>
      <c r="AF35" s="9" t="n">
        <v>0</v>
      </c>
    </row>
    <row r="36" customFormat="false" ht="15" hidden="false" customHeight="false" outlineLevel="0" collapsed="false">
      <c r="A36" s="9" t="n">
        <v>35</v>
      </c>
      <c r="B36" s="9" t="n">
        <v>0</v>
      </c>
      <c r="C36" s="9" t="n">
        <v>0</v>
      </c>
      <c r="D36" s="9" t="n">
        <v>0</v>
      </c>
      <c r="E36" s="9" t="n">
        <v>0</v>
      </c>
      <c r="F36" s="9" t="n">
        <v>0</v>
      </c>
      <c r="G36" s="9" t="n">
        <v>0</v>
      </c>
      <c r="H36" s="9" t="n">
        <v>1</v>
      </c>
      <c r="I36" s="9" t="n">
        <v>0</v>
      </c>
      <c r="J36" s="9" t="n">
        <v>0</v>
      </c>
      <c r="K36" s="9" t="n">
        <v>0</v>
      </c>
      <c r="L36" s="9" t="n">
        <v>0</v>
      </c>
      <c r="M36" s="9" t="n">
        <v>1</v>
      </c>
      <c r="N36" s="9" t="n">
        <v>0</v>
      </c>
      <c r="O36" s="9" t="n">
        <v>0</v>
      </c>
      <c r="P36" s="9" t="n">
        <v>0</v>
      </c>
      <c r="Q36" s="9" t="n">
        <v>0</v>
      </c>
      <c r="R36" s="9" t="n">
        <v>0</v>
      </c>
      <c r="S36" s="9" t="n">
        <v>0</v>
      </c>
      <c r="T36" s="9" t="n">
        <v>0</v>
      </c>
      <c r="U36" s="9" t="n">
        <v>0</v>
      </c>
      <c r="V36" s="9" t="n">
        <v>0</v>
      </c>
      <c r="W36" s="9" t="n">
        <v>0</v>
      </c>
      <c r="X36" s="9" t="n">
        <v>0</v>
      </c>
      <c r="Y36" s="9" t="n">
        <v>0</v>
      </c>
      <c r="Z36" s="9" t="n">
        <v>0</v>
      </c>
      <c r="AA36" s="9" t="n">
        <v>0</v>
      </c>
      <c r="AB36" s="9" t="n">
        <v>0</v>
      </c>
      <c r="AC36" s="9" t="n">
        <v>0</v>
      </c>
      <c r="AD36" s="9" t="n">
        <v>0</v>
      </c>
      <c r="AE36" s="9" t="n">
        <v>0</v>
      </c>
      <c r="AF36" s="9" t="n">
        <v>1</v>
      </c>
    </row>
    <row r="37" customFormat="false" ht="15" hidden="false" customHeight="false" outlineLevel="0" collapsed="false">
      <c r="A37" s="9" t="n">
        <v>36</v>
      </c>
      <c r="B37" s="9" t="n">
        <v>1</v>
      </c>
      <c r="C37" s="9" t="n">
        <v>0</v>
      </c>
      <c r="D37" s="9" t="n">
        <v>0</v>
      </c>
      <c r="E37" s="9" t="n">
        <v>0</v>
      </c>
      <c r="F37" s="9" t="n">
        <v>0</v>
      </c>
      <c r="G37" s="9" t="n">
        <v>0</v>
      </c>
      <c r="H37" s="9" t="n">
        <v>0</v>
      </c>
      <c r="I37" s="9" t="n">
        <v>0</v>
      </c>
      <c r="J37" s="9" t="n">
        <v>0</v>
      </c>
      <c r="K37" s="9" t="n">
        <v>0</v>
      </c>
      <c r="L37" s="9" t="n">
        <v>0</v>
      </c>
      <c r="M37" s="9" t="n">
        <v>1</v>
      </c>
      <c r="N37" s="9" t="n">
        <v>0</v>
      </c>
      <c r="O37" s="9" t="n">
        <v>0</v>
      </c>
      <c r="P37" s="9" t="n">
        <v>0</v>
      </c>
      <c r="Q37" s="9" t="n">
        <v>0</v>
      </c>
      <c r="R37" s="9" t="n">
        <v>0</v>
      </c>
      <c r="S37" s="9" t="n">
        <v>0</v>
      </c>
      <c r="T37" s="9" t="n">
        <v>0</v>
      </c>
      <c r="U37" s="9" t="n">
        <v>0</v>
      </c>
      <c r="V37" s="9" t="n">
        <v>0</v>
      </c>
      <c r="W37" s="9" t="n">
        <v>0</v>
      </c>
      <c r="X37" s="9" t="n">
        <v>0</v>
      </c>
      <c r="Y37" s="9" t="n">
        <v>0</v>
      </c>
      <c r="Z37" s="9" t="n">
        <v>0</v>
      </c>
      <c r="AA37" s="9" t="n">
        <v>0</v>
      </c>
      <c r="AB37" s="9" t="n">
        <v>0</v>
      </c>
      <c r="AC37" s="9" t="n">
        <v>0</v>
      </c>
      <c r="AD37" s="9" t="n">
        <v>0</v>
      </c>
      <c r="AE37" s="9" t="n">
        <v>0</v>
      </c>
      <c r="AF37" s="9" t="n">
        <v>1</v>
      </c>
    </row>
    <row r="38" customFormat="false" ht="15" hidden="false" customHeight="false" outlineLevel="0" collapsed="false">
      <c r="A38" s="9" t="n">
        <v>37</v>
      </c>
      <c r="B38" s="9" t="n">
        <v>0</v>
      </c>
      <c r="C38" s="9" t="n">
        <v>0</v>
      </c>
      <c r="D38" s="9" t="n">
        <v>0</v>
      </c>
      <c r="E38" s="9" t="n">
        <v>0</v>
      </c>
      <c r="F38" s="9" t="n">
        <v>0</v>
      </c>
      <c r="G38" s="9" t="n">
        <v>0</v>
      </c>
      <c r="H38" s="9" t="n">
        <v>0</v>
      </c>
      <c r="I38" s="9" t="n">
        <v>0</v>
      </c>
      <c r="J38" s="9" t="n">
        <v>1</v>
      </c>
      <c r="K38" s="9" t="n">
        <v>0</v>
      </c>
      <c r="L38" s="9" t="n">
        <v>0</v>
      </c>
      <c r="M38" s="9" t="n">
        <v>0</v>
      </c>
      <c r="N38" s="9" t="n">
        <v>0</v>
      </c>
      <c r="O38" s="9" t="n">
        <v>0</v>
      </c>
      <c r="P38" s="9" t="n">
        <v>0</v>
      </c>
      <c r="Q38" s="9" t="n">
        <v>1</v>
      </c>
      <c r="R38" s="9" t="n">
        <v>1</v>
      </c>
      <c r="S38" s="9" t="n">
        <v>0</v>
      </c>
      <c r="T38" s="9" t="n">
        <v>1</v>
      </c>
      <c r="U38" s="9" t="n">
        <v>0</v>
      </c>
      <c r="V38" s="9" t="n">
        <v>0</v>
      </c>
      <c r="W38" s="9" t="n">
        <v>0</v>
      </c>
      <c r="X38" s="9" t="n">
        <v>0</v>
      </c>
      <c r="Y38" s="9" t="n">
        <v>0</v>
      </c>
      <c r="Z38" s="9" t="n">
        <v>0</v>
      </c>
      <c r="AA38" s="9" t="n">
        <v>0</v>
      </c>
      <c r="AB38" s="9" t="n">
        <v>1</v>
      </c>
      <c r="AC38" s="9" t="n">
        <v>0</v>
      </c>
      <c r="AD38" s="9" t="n">
        <v>0</v>
      </c>
      <c r="AE38" s="9" t="n">
        <v>1</v>
      </c>
      <c r="AF38" s="9" t="n">
        <v>0</v>
      </c>
    </row>
    <row r="39" customFormat="false" ht="15" hidden="false" customHeight="false" outlineLevel="0" collapsed="false">
      <c r="A39" s="9" t="n">
        <v>38</v>
      </c>
      <c r="B39" s="9" t="n">
        <v>0</v>
      </c>
      <c r="C39" s="9" t="n">
        <v>0</v>
      </c>
      <c r="D39" s="9" t="n">
        <v>0</v>
      </c>
      <c r="E39" s="9" t="n">
        <v>0</v>
      </c>
      <c r="F39" s="9" t="n">
        <v>0</v>
      </c>
      <c r="G39" s="9" t="n">
        <v>0</v>
      </c>
      <c r="H39" s="9" t="n">
        <v>0</v>
      </c>
      <c r="I39" s="9" t="n">
        <v>0</v>
      </c>
      <c r="J39" s="9" t="n">
        <v>1</v>
      </c>
      <c r="K39" s="9" t="n">
        <v>0</v>
      </c>
      <c r="L39" s="9" t="n">
        <v>0</v>
      </c>
      <c r="M39" s="9" t="n">
        <v>1</v>
      </c>
      <c r="N39" s="9" t="n">
        <v>0</v>
      </c>
      <c r="O39" s="9" t="n">
        <v>0</v>
      </c>
      <c r="P39" s="9" t="n">
        <v>0</v>
      </c>
      <c r="Q39" s="9" t="n">
        <v>0</v>
      </c>
      <c r="R39" s="9" t="n">
        <v>0</v>
      </c>
      <c r="S39" s="9" t="n">
        <v>0</v>
      </c>
      <c r="T39" s="9" t="n">
        <v>0</v>
      </c>
      <c r="U39" s="9" t="n">
        <v>0</v>
      </c>
      <c r="V39" s="9" t="n">
        <v>0</v>
      </c>
      <c r="W39" s="9" t="n">
        <v>0</v>
      </c>
      <c r="X39" s="9" t="n">
        <v>0</v>
      </c>
      <c r="Y39" s="9" t="n">
        <v>0</v>
      </c>
      <c r="Z39" s="9" t="n">
        <v>0</v>
      </c>
      <c r="AA39" s="9" t="n">
        <v>0</v>
      </c>
      <c r="AB39" s="9" t="n">
        <v>0</v>
      </c>
      <c r="AC39" s="9" t="n">
        <v>0</v>
      </c>
      <c r="AD39" s="9" t="n">
        <v>0</v>
      </c>
      <c r="AE39" s="9" t="n">
        <v>0</v>
      </c>
      <c r="AF39" s="9" t="n">
        <v>1</v>
      </c>
    </row>
    <row r="40" customFormat="false" ht="15" hidden="false" customHeight="false" outlineLevel="0" collapsed="false">
      <c r="A40" s="9" t="n">
        <v>39</v>
      </c>
      <c r="B40" s="9" t="n">
        <v>0</v>
      </c>
      <c r="C40" s="9" t="n">
        <v>0</v>
      </c>
      <c r="D40" s="9" t="n">
        <v>0</v>
      </c>
      <c r="E40" s="9" t="n">
        <v>0</v>
      </c>
      <c r="F40" s="9" t="n">
        <v>0</v>
      </c>
      <c r="G40" s="9" t="n">
        <v>0</v>
      </c>
      <c r="H40" s="9" t="n">
        <v>0</v>
      </c>
      <c r="I40" s="9" t="n">
        <v>0</v>
      </c>
      <c r="J40" s="9" t="n">
        <v>1</v>
      </c>
      <c r="K40" s="9" t="n">
        <v>0</v>
      </c>
      <c r="L40" s="9" t="n">
        <v>1</v>
      </c>
      <c r="M40" s="9" t="n">
        <v>1</v>
      </c>
      <c r="N40" s="9" t="n">
        <v>0</v>
      </c>
      <c r="O40" s="9" t="n">
        <v>0</v>
      </c>
      <c r="P40" s="9" t="n">
        <v>0</v>
      </c>
      <c r="Q40" s="9" t="n">
        <v>0</v>
      </c>
      <c r="R40" s="9" t="n">
        <v>0</v>
      </c>
      <c r="S40" s="9" t="n">
        <v>0</v>
      </c>
      <c r="T40" s="9" t="n">
        <v>0</v>
      </c>
      <c r="U40" s="9" t="n">
        <v>0</v>
      </c>
      <c r="V40" s="9" t="n">
        <v>0</v>
      </c>
      <c r="W40" s="9" t="n">
        <v>0</v>
      </c>
      <c r="X40" s="9" t="n">
        <v>0</v>
      </c>
      <c r="Y40" s="9" t="n">
        <v>0</v>
      </c>
      <c r="Z40" s="9" t="n">
        <v>0</v>
      </c>
      <c r="AA40" s="9" t="n">
        <v>0</v>
      </c>
      <c r="AB40" s="9" t="n">
        <v>0</v>
      </c>
      <c r="AC40" s="9" t="n">
        <v>0</v>
      </c>
      <c r="AD40" s="9" t="n">
        <v>0</v>
      </c>
      <c r="AE40" s="9" t="n">
        <v>0</v>
      </c>
      <c r="AF40" s="9" t="n">
        <v>1</v>
      </c>
    </row>
    <row r="41" customFormat="false" ht="15" hidden="false" customHeight="false" outlineLevel="0" collapsed="false">
      <c r="A41" s="9" t="n">
        <v>40</v>
      </c>
      <c r="B41" s="9" t="n">
        <v>0</v>
      </c>
      <c r="C41" s="9" t="n">
        <v>0</v>
      </c>
      <c r="D41" s="9" t="n">
        <v>0</v>
      </c>
      <c r="E41" s="9" t="n">
        <v>0</v>
      </c>
      <c r="F41" s="9" t="n">
        <v>0</v>
      </c>
      <c r="G41" s="9" t="n">
        <v>0</v>
      </c>
      <c r="H41" s="9" t="n">
        <v>0</v>
      </c>
      <c r="I41" s="9" t="n">
        <v>0</v>
      </c>
      <c r="J41" s="9" t="n">
        <v>1</v>
      </c>
      <c r="K41" s="9" t="n">
        <v>0</v>
      </c>
      <c r="L41" s="9" t="n">
        <v>0</v>
      </c>
      <c r="M41" s="9" t="n">
        <v>1</v>
      </c>
      <c r="N41" s="9" t="n">
        <v>0</v>
      </c>
      <c r="O41" s="9" t="n">
        <v>0</v>
      </c>
      <c r="P41" s="9" t="n">
        <v>0</v>
      </c>
      <c r="Q41" s="9" t="n">
        <v>0</v>
      </c>
      <c r="R41" s="9" t="n">
        <v>0</v>
      </c>
      <c r="S41" s="9" t="n">
        <v>0</v>
      </c>
      <c r="T41" s="9" t="n">
        <v>0</v>
      </c>
      <c r="U41" s="9" t="n">
        <v>0</v>
      </c>
      <c r="V41" s="9" t="n">
        <v>0</v>
      </c>
      <c r="W41" s="9" t="n">
        <v>0</v>
      </c>
      <c r="X41" s="9" t="n">
        <v>0</v>
      </c>
      <c r="Y41" s="9" t="n">
        <v>0</v>
      </c>
      <c r="Z41" s="9" t="n">
        <v>0</v>
      </c>
      <c r="AA41" s="9" t="n">
        <v>0</v>
      </c>
      <c r="AB41" s="9" t="n">
        <v>0</v>
      </c>
      <c r="AC41" s="9" t="n">
        <v>0</v>
      </c>
      <c r="AD41" s="9" t="n">
        <v>0</v>
      </c>
      <c r="AE41" s="9" t="n">
        <v>0</v>
      </c>
      <c r="AF41" s="9" t="n">
        <v>1</v>
      </c>
    </row>
    <row r="42" customFormat="false" ht="15" hidden="false" customHeight="false" outlineLevel="0" collapsed="false">
      <c r="A42" s="9" t="n">
        <v>41</v>
      </c>
      <c r="B42" s="9" t="n">
        <v>1</v>
      </c>
      <c r="C42" s="9" t="n">
        <v>0</v>
      </c>
      <c r="D42" s="9" t="n">
        <v>0</v>
      </c>
      <c r="E42" s="9" t="n">
        <v>0</v>
      </c>
      <c r="F42" s="9" t="n">
        <v>0</v>
      </c>
      <c r="G42" s="9" t="n">
        <v>0</v>
      </c>
      <c r="H42" s="9" t="n">
        <v>0</v>
      </c>
      <c r="I42" s="9" t="n">
        <v>0</v>
      </c>
      <c r="J42" s="9" t="n">
        <v>0</v>
      </c>
      <c r="K42" s="9" t="n">
        <v>0</v>
      </c>
      <c r="L42" s="9" t="n">
        <v>1</v>
      </c>
      <c r="M42" s="9" t="n">
        <v>0</v>
      </c>
      <c r="N42" s="9" t="n">
        <v>0</v>
      </c>
      <c r="O42" s="9" t="n">
        <v>0</v>
      </c>
      <c r="P42" s="9" t="n">
        <v>0</v>
      </c>
      <c r="Q42" s="9" t="n">
        <v>0</v>
      </c>
      <c r="R42" s="9" t="n">
        <v>0</v>
      </c>
      <c r="S42" s="9" t="n">
        <v>0</v>
      </c>
      <c r="T42" s="9" t="n">
        <v>0</v>
      </c>
      <c r="U42" s="9" t="n">
        <v>0</v>
      </c>
      <c r="V42" s="9" t="n">
        <v>0</v>
      </c>
      <c r="W42" s="9" t="n">
        <v>0</v>
      </c>
      <c r="X42" s="9" t="n">
        <v>1</v>
      </c>
      <c r="Y42" s="9" t="n">
        <v>0</v>
      </c>
      <c r="Z42" s="9" t="n">
        <v>0</v>
      </c>
      <c r="AA42" s="9" t="n">
        <v>0</v>
      </c>
      <c r="AB42" s="9" t="n">
        <v>0</v>
      </c>
      <c r="AC42" s="9" t="n">
        <v>0</v>
      </c>
      <c r="AD42" s="9" t="n">
        <v>1</v>
      </c>
      <c r="AE42" s="9" t="n">
        <v>0</v>
      </c>
      <c r="AF42" s="9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2"/>
    <col collapsed="false" customWidth="true" hidden="false" outlineLevel="0" max="3" min="3" style="0" width="70"/>
    <col collapsed="false" customWidth="true" hidden="false" outlineLevel="0" max="4" min="4" style="0" width="60"/>
  </cols>
  <sheetData>
    <row r="1" customFormat="false" ht="15" hidden="false" customHeight="false" outlineLevel="0" collapsed="false">
      <c r="A1" s="11" t="s">
        <v>357</v>
      </c>
      <c r="B1" s="11" t="s">
        <v>358</v>
      </c>
      <c r="C1" s="11" t="s">
        <v>359</v>
      </c>
      <c r="D1" s="11" t="s">
        <v>360</v>
      </c>
    </row>
    <row r="2" customFormat="false" ht="26.85" hidden="false" customHeight="false" outlineLevel="0" collapsed="false">
      <c r="A2" s="3" t="n">
        <v>6</v>
      </c>
      <c r="B2" s="3" t="s">
        <v>84</v>
      </c>
      <c r="C2" s="3" t="s">
        <v>361</v>
      </c>
      <c r="D2" s="3" t="s">
        <v>362</v>
      </c>
    </row>
    <row r="3" customFormat="false" ht="15" hidden="false" customHeight="false" outlineLevel="0" collapsed="false">
      <c r="A3" s="3" t="n">
        <v>13</v>
      </c>
      <c r="B3" s="3" t="s">
        <v>363</v>
      </c>
      <c r="C3" s="3" t="s">
        <v>364</v>
      </c>
      <c r="D3" s="3" t="s">
        <v>365</v>
      </c>
    </row>
    <row r="4" customFormat="false" ht="26.85" hidden="false" customHeight="false" outlineLevel="0" collapsed="false">
      <c r="A4" s="3" t="n">
        <v>16</v>
      </c>
      <c r="B4" s="3" t="s">
        <v>84</v>
      </c>
      <c r="C4" s="3" t="s">
        <v>361</v>
      </c>
      <c r="D4" s="3" t="s">
        <v>362</v>
      </c>
    </row>
    <row r="5" customFormat="false" ht="15" hidden="false" customHeight="false" outlineLevel="0" collapsed="false">
      <c r="A5" s="3" t="n">
        <v>16</v>
      </c>
      <c r="B5" s="3" t="s">
        <v>366</v>
      </c>
      <c r="C5" s="3" t="s">
        <v>367</v>
      </c>
      <c r="D5" s="3" t="s">
        <v>368</v>
      </c>
    </row>
    <row r="6" customFormat="false" ht="15" hidden="false" customHeight="false" outlineLevel="0" collapsed="false">
      <c r="A6" s="3" t="n">
        <v>17</v>
      </c>
      <c r="B6" s="3" t="s">
        <v>366</v>
      </c>
      <c r="C6" s="3" t="s">
        <v>369</v>
      </c>
      <c r="D6" s="3" t="s">
        <v>370</v>
      </c>
    </row>
    <row r="7" customFormat="false" ht="26.85" hidden="false" customHeight="false" outlineLevel="0" collapsed="false">
      <c r="A7" s="3" t="n">
        <v>23</v>
      </c>
      <c r="B7" s="3" t="s">
        <v>371</v>
      </c>
      <c r="C7" s="3" t="s">
        <v>372</v>
      </c>
      <c r="D7" s="3" t="s">
        <v>373</v>
      </c>
    </row>
    <row r="8" customFormat="false" ht="26.85" hidden="false" customHeight="false" outlineLevel="0" collapsed="false">
      <c r="A8" s="3" t="n">
        <v>24</v>
      </c>
      <c r="B8" s="3" t="s">
        <v>371</v>
      </c>
      <c r="C8" s="3" t="s">
        <v>374</v>
      </c>
      <c r="D8" s="3" t="s">
        <v>373</v>
      </c>
    </row>
    <row r="9" customFormat="false" ht="26.85" hidden="false" customHeight="false" outlineLevel="0" collapsed="false">
      <c r="A9" s="3" t="n">
        <v>25</v>
      </c>
      <c r="B9" s="3" t="s">
        <v>84</v>
      </c>
      <c r="C9" s="3" t="s">
        <v>361</v>
      </c>
      <c r="D9" s="3" t="s">
        <v>362</v>
      </c>
    </row>
    <row r="10" customFormat="false" ht="15" hidden="false" customHeight="false" outlineLevel="0" collapsed="false">
      <c r="A10" s="3" t="n">
        <v>28</v>
      </c>
      <c r="B10" s="3" t="s">
        <v>363</v>
      </c>
      <c r="C10" s="3" t="s">
        <v>375</v>
      </c>
      <c r="D10" s="3" t="s">
        <v>365</v>
      </c>
    </row>
    <row r="11" customFormat="false" ht="15" hidden="false" customHeight="false" outlineLevel="0" collapsed="false">
      <c r="A11" s="3" t="n">
        <v>29</v>
      </c>
      <c r="B11" s="3" t="s">
        <v>371</v>
      </c>
      <c r="C11" s="3" t="s">
        <v>376</v>
      </c>
      <c r="D11" s="3" t="s">
        <v>373</v>
      </c>
    </row>
    <row r="12" customFormat="false" ht="26.85" hidden="false" customHeight="false" outlineLevel="0" collapsed="false">
      <c r="A12" s="3" t="n">
        <v>30</v>
      </c>
      <c r="B12" s="3" t="s">
        <v>84</v>
      </c>
      <c r="C12" s="3" t="s">
        <v>361</v>
      </c>
      <c r="D12" s="3" t="s">
        <v>362</v>
      </c>
    </row>
    <row r="13" customFormat="false" ht="15" hidden="false" customHeight="false" outlineLevel="0" collapsed="false">
      <c r="A13" s="3" t="n">
        <v>32</v>
      </c>
      <c r="B13" s="3" t="s">
        <v>363</v>
      </c>
      <c r="C13" s="3" t="s">
        <v>377</v>
      </c>
      <c r="D13" s="3" t="s">
        <v>365</v>
      </c>
    </row>
    <row r="14" customFormat="false" ht="15" hidden="false" customHeight="false" outlineLevel="0" collapsed="false">
      <c r="A14" s="3" t="n">
        <v>33</v>
      </c>
      <c r="B14" s="3" t="s">
        <v>113</v>
      </c>
      <c r="C14" s="3" t="s">
        <v>378</v>
      </c>
      <c r="D14" s="3" t="s">
        <v>379</v>
      </c>
    </row>
    <row r="15" customFormat="false" ht="15" hidden="false" customHeight="false" outlineLevel="0" collapsed="false">
      <c r="A15" s="3" t="n">
        <v>36</v>
      </c>
      <c r="B15" s="3" t="s">
        <v>124</v>
      </c>
      <c r="C15" s="3" t="s">
        <v>380</v>
      </c>
      <c r="D15" s="3" t="s">
        <v>381</v>
      </c>
    </row>
    <row r="16" customFormat="false" ht="15" hidden="false" customHeight="false" outlineLevel="0" collapsed="false">
      <c r="A16" s="3" t="n">
        <v>38</v>
      </c>
      <c r="B16" s="3" t="s">
        <v>124</v>
      </c>
      <c r="C16" s="3" t="s">
        <v>382</v>
      </c>
      <c r="D16" s="3" t="s">
        <v>383</v>
      </c>
    </row>
    <row r="17" customFormat="false" ht="26.85" hidden="false" customHeight="false" outlineLevel="0" collapsed="false">
      <c r="A17" s="3" t="s">
        <v>384</v>
      </c>
      <c r="B17" s="3" t="s">
        <v>385</v>
      </c>
      <c r="C17" s="3" t="s">
        <v>386</v>
      </c>
      <c r="D17" s="3" t="s">
        <v>387</v>
      </c>
    </row>
    <row r="18" customFormat="false" ht="26.85" hidden="false" customHeight="false" outlineLevel="0" collapsed="false">
      <c r="A18" s="3" t="s">
        <v>384</v>
      </c>
      <c r="B18" s="3" t="s">
        <v>388</v>
      </c>
      <c r="C18" s="3" t="s">
        <v>389</v>
      </c>
      <c r="D18" s="3" t="s">
        <v>390</v>
      </c>
    </row>
    <row r="19" customFormat="false" ht="26.85" hidden="false" customHeight="false" outlineLevel="0" collapsed="false">
      <c r="A19" s="3" t="s">
        <v>384</v>
      </c>
      <c r="B19" s="3" t="s">
        <v>391</v>
      </c>
      <c r="C19" s="3" t="s">
        <v>392</v>
      </c>
      <c r="D19" s="3" t="s">
        <v>393</v>
      </c>
    </row>
    <row r="20" customFormat="false" ht="26.85" hidden="false" customHeight="false" outlineLevel="0" collapsed="false">
      <c r="A20" s="3" t="s">
        <v>384</v>
      </c>
      <c r="B20" s="3" t="s">
        <v>121</v>
      </c>
      <c r="C20" s="3" t="s">
        <v>394</v>
      </c>
      <c r="D20" s="3" t="s">
        <v>395</v>
      </c>
    </row>
    <row r="21" customFormat="false" ht="15" hidden="false" customHeight="false" outlineLevel="0" collapsed="false">
      <c r="A21" s="3" t="n">
        <v>8</v>
      </c>
      <c r="B21" s="3" t="s">
        <v>124</v>
      </c>
      <c r="C21" s="3" t="s">
        <v>396</v>
      </c>
      <c r="D21" s="3" t="s">
        <v>397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2026-09-24T16:25:49Z</dcterms:created>
  <dc:creator>openpyxl</dc:creator>
  <dc:description/>
  <dc:language>en-US</dc:language>
  <cp:lastModifiedBy/>
  <dcterms:modified xsi:type="dcterms:W3CDTF">2026-09-24T16:25:49Z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